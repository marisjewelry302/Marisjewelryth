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31de376d7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 Feed" sheetId="1" r:id="Rf34a3c92d50444d7"/>
    <x:sheet xmlns:r="http://schemas.openxmlformats.org/officeDocument/2006/relationships" name="Guide" sheetId="2" r:id="R27297c604ab841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02923"/>
      <x:name val="Carlito"/>
    </x:font>
    <x:font>
      <x:sz val="11"/>
      <x:color rgb="10292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493A"/>
      </x:patternFill>
    </x:fill>
    <x:fill>
      <x:patternFill patternType="solid">
        <x:fgColor rgb="F3E3C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82ad1e9c84079" /><Relationship Type="http://schemas.openxmlformats.org/officeDocument/2006/relationships/theme" Target="/xl/theme/theme1.xml" Id="R068ab40b8c30495f" /><Relationship Type="http://schemas.openxmlformats.org/officeDocument/2006/relationships/sharedStrings" Target="/xl/sharedStrings.xml" Id="Rbe7ab6a574204e0b" /><Relationship Type="http://schemas.openxmlformats.org/officeDocument/2006/relationships/worksheet" Target="/xl/worksheets/sheet1.xml" Id="Rf34a3c92d50444d7" /><Relationship Type="http://schemas.openxmlformats.org/officeDocument/2006/relationships/worksheet" Target="/xl/worksheets/sheet2.xml" Id="R27297c604ab841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.789999961853027" hidden="0" customWidth="1"/>
    <x:col min="2" max="2" width="16.81999969482422" hidden="0" customWidth="1"/>
    <x:col min="3" max="3" width="9.020000457763672" hidden="0" customWidth="1"/>
    <x:col min="4" max="4" width="15.75" hidden="0" customWidth="1"/>
    <x:col min="5" max="5" width="19.25" hidden="0" customWidth="1"/>
    <x:col min="6" max="6" width="14.9399995803833" hidden="0" customWidth="1"/>
    <x:col min="7" max="7" width="11.4399995803833" hidden="0" customWidth="1"/>
    <x:col min="8" max="8" width="24.899999618530273" hidden="0" customWidth="1"/>
    <x:col min="9" max="9" width="23.549999237060547" hidden="0" customWidth="1"/>
    <x:col min="10" max="10" width="19.25" hidden="0" customWidth="1"/>
    <x:col min="11" max="11" width="19.25" hidden="0" customWidth="1"/>
    <x:col min="12" max="12" width="19.25" hidden="0" customWidth="1"/>
    <x:col min="13" max="13" width="21.1299991607666" hidden="0" customWidth="1"/>
    <x:col min="14" max="14" width="20.31999969482422" hidden="0" customWidth="1"/>
    <x:col min="15" max="15" width="13.859999656677246" hidden="0" customWidth="1"/>
    <x:col min="16" max="16" width="50.470001220703125" hidden="0" customWidth="1"/>
    <x:col min="17" max="17" width="31.6299991607666" hidden="0" customWidth="1"/>
  </x:cols>
  <x:sheetData>
    <x:row r="1" ht="25.5" customHeight="1">
      <x:c r="A1" s="2" t="str">
        <x:v>Maris Google Sheet Catalogue Template</x:v>
      </x:c>
      <x:c r="B1" s="2" t="str">
        <x:v>Maris Google Sheet Catalogue Template</x:v>
      </x:c>
      <x:c r="C1" s="2" t="str">
        <x:v>Maris Google Sheet Catalogue Template</x:v>
      </x:c>
      <x:c r="D1" s="2" t="str">
        <x:v>Maris Google Sheet Catalogue Template</x:v>
      </x:c>
      <x:c r="E1" s="2" t="str">
        <x:v>Maris Google Sheet Catalogue Template</x:v>
      </x:c>
      <x:c r="F1" s="2" t="str">
        <x:v>Maris Google Sheet Catalogue Template</x:v>
      </x:c>
      <x:c r="G1" s="2" t="str">
        <x:v>Maris Google Sheet Catalogue Template</x:v>
      </x:c>
      <x:c r="H1" s="2" t="str">
        <x:v>Maris Google Sheet Catalogue Template</x:v>
      </x:c>
      <x:c r="I1" s="2" t="str">
        <x:v>Maris Google Sheet Catalogue Template</x:v>
      </x:c>
      <x:c r="J1" s="2" t="str">
        <x:v>Maris Google Sheet Catalogue Template</x:v>
      </x:c>
      <x:c r="K1" s="2" t="str">
        <x:v>Maris Google Sheet Catalogue Template</x:v>
      </x:c>
      <x:c r="L1" s="2" t="str">
        <x:v>Maris Google Sheet Catalogue Template</x:v>
      </x:c>
      <x:c r="M1" s="2" t="str">
        <x:v>Maris Google Sheet Catalogue Template</x:v>
      </x:c>
      <x:c r="N1" s="2" t="str">
        <x:v>Maris Google Sheet Catalogue Template</x:v>
      </x:c>
      <x:c r="O1" s="2" t="str">
        <x:v>Maris Google Sheet Catalogue Template</x:v>
      </x:c>
      <x:c r="P1" s="2" t="str">
        <x:v>Maris Google Sheet Catalogue Template</x:v>
      </x:c>
      <x:c r="Q1" s="2" t="str">
        <x:v>Maris Google Sheet Catalogue Template</x:v>
      </x:c>
    </x:row>
    <x:row r="2" ht="21" customHeight="1">
      <x:c r="A2" s="4" t="str">
        <x:v>ID</x:v>
      </x:c>
      <x:c r="B2" s="4" t="str">
        <x:v>Collection</x:v>
      </x:c>
      <x:c r="C2" s="4" t="str">
        <x:v>Type</x:v>
      </x:c>
      <x:c r="D2" s="4" t="str">
        <x:v>Center</x:v>
      </x:c>
      <x:c r="E2" s="4" t="str">
        <x:v>Malee</x:v>
      </x:c>
      <x:c r="F2" s="4" t="str">
        <x:v>Gold Weight</x:v>
      </x:c>
      <x:c r="G2" s="4" t="str">
        <x:v>code</x:v>
      </x:c>
      <x:c r="H2" s="4" t="str">
        <x:v>name</x:v>
      </x:c>
      <x:c r="I2" s="4" t="str">
        <x:v>image_url</x:v>
      </x:c>
      <x:c r="J2" s="4" t="str">
        <x:v>top_image_url</x:v>
      </x:c>
      <x:c r="K2" s="4" t="str">
        <x:v>front_image_url</x:v>
      </x:c>
      <x:c r="L2" s="4" t="str">
        <x:v>side_image_url</x:v>
      </x:c>
      <x:c r="M2" s="4" t="str">
        <x:v>yellow_gold_image_url</x:v>
      </x:c>
      <x:c r="N2" s="4" t="str">
        <x:v>rose_gold_image_url</x:v>
      </x:c>
      <x:c r="O2" s="4" t="str">
        <x:v>price</x:v>
      </x:c>
      <x:c r="P2" s="4" t="str">
        <x:v>description</x:v>
      </x:c>
      <x:c r="Q2" s="4" t="str">
        <x:v>details</x:v>
      </x:c>
    </x:row>
    <x:row r="3" ht="48" customHeight="1">
      <x:c r="A3" s="6" t="str">
        <x:v>SR 0033</x:v>
      </x:c>
      <x:c r="B3" s="6" t="str">
        <x:v>Infinite Hold</x:v>
      </x:c>
      <x:c r="C3" s="6" t="str">
        <x:v>WS</x:v>
      </x:c>
      <x:c r="D3" s="6" t="str">
        <x:v>Rd 1.00 ct.</x:v>
      </x:c>
      <x:c r="E3" s="6" t="str">
        <x:v>rd 42 pcs / 0.61 ct</x:v>
      </x:c>
      <x:c r="F3" s="6" t="str">
        <x:v>14kt 3.47 g</x:v>
      </x:c>
      <x:c r="G3" s="6" t="str">
        <x:v>WSSR0033</x:v>
      </x:c>
      <x:c r="H3" s="6" t="str">
        <x:v>The Infinite Hold Collection</x:v>
      </x:c>
      <x:c r="I3" s="6" t="str"/>
      <x:c r="J3" s="6" t="str"/>
      <x:c r="K3" s="6" t="str"/>
      <x:c r="L3" s="6" t="str"/>
      <x:c r="M3" s="6" t="str"/>
      <x:c r="N3" s="6" t="str"/>
      <x:c r="O3" s="6" t="str">
        <x:v>Price on request</x:v>
      </x:c>
      <x:c r="P3" s="7" t="str">
        <x:f>IF(A3="","", "SKU "&amp;A3&amp;". from the "&amp;B3&amp;" collection. Type "&amp;C3&amp;IFERROR(" ("&amp;VLOOKUP(C3,$A$9:$B$14,2,FALSE)&amp;")","")&amp;IF(D3&lt;&gt;"",". center stone "&amp;D3,"")&amp;IF(E3&lt;&gt;"",". Malee "&amp;E3,"")&amp;IF(F3&lt;&gt;"",". gold weight "&amp;F3,""))</x:f>
        <x:v>SKU SR 0033. from the Infinite Hold collection. Type WS. center stone Rd 1.00 ct.. Malee rd 42 pcs / 0.61 ct. gold weight 14kt 3.47 g</x:v>
      </x:c>
      <x:c r="Q3" s="7" t="str">
        <x:f>IF(A3="","",TEXTJOIN(CHAR(10),TRUE,IF(D3&lt;&gt;"",D3,""),IF(E3&lt;&gt;"","Malee "&amp;E3,""),IF(F3&lt;&gt;"",F3,"")))</x:f>
        <x:v>Rd 1.00 ct.
Malee rd 42 pcs / 0.61 ct
14kt 3.47 g</x:v>
      </x:c>
    </x:row>
    <x:row r="4" ht="48" customHeight="1">
      <x:c r="A4" s="6" t="str">
        <x:v>SR 0033ER</x:v>
      </x:c>
      <x:c r="B4" s="6" t="str">
        <x:v>Infinite Hold</x:v>
      </x:c>
      <x:c r="C4" s="6" t="str">
        <x:v>ER</x:v>
      </x:c>
      <x:c r="D4" s="6" t="str">
        <x:v>Rd 1.00 ct.</x:v>
      </x:c>
      <x:c r="E4" s="6" t="str">
        <x:v>rd 22 pcs / 0.31 ct</x:v>
      </x:c>
      <x:c r="F4" s="6" t="str">
        <x:v>14kt 2.02 g</x:v>
      </x:c>
      <x:c r="G4" s="6" t="str">
        <x:v>ERSR0033ER</x:v>
      </x:c>
      <x:c r="H4" s="6" t="str">
        <x:v>The Infinite Hold Collection</x:v>
      </x:c>
      <x:c r="I4" s="6" t="str"/>
      <x:c r="J4" s="6" t="str"/>
      <x:c r="K4" s="6" t="str"/>
      <x:c r="L4" s="6" t="str"/>
      <x:c r="M4" s="6" t="str"/>
      <x:c r="N4" s="6" t="str"/>
      <x:c r="O4" s="6" t="str">
        <x:v>Price on request</x:v>
      </x:c>
      <x:c r="P4" s="7" t="str">
        <x:f>IF(A4="","", "SKU "&amp;A4&amp;". from the "&amp;B4&amp;" collection. Type "&amp;C4&amp;IFERROR(" ("&amp;VLOOKUP(C4,$A$9:$B$14,2,FALSE)&amp;")","")&amp;IF(D4&lt;&gt;"",". center stone "&amp;D4,"")&amp;IF(E4&lt;&gt;"",". Malee "&amp;E4,"")&amp;IF(F4&lt;&gt;"",". gold weight "&amp;F4,""))</x:f>
        <x:v>SKU SR 0033ER. from the Infinite Hold collection. Type ER. center stone Rd 1.00 ct.. Malee rd 22 pcs / 0.31 ct. gold weight 14kt 2.02 g</x:v>
      </x:c>
      <x:c r="Q4" s="7" t="str">
        <x:f>IF(A4="","",TEXTJOIN(CHAR(10),TRUE,IF(D4&lt;&gt;"",D4,""),IF(E4&lt;&gt;"","Malee "&amp;E4,""),IF(F4&lt;&gt;"",F4,"")))</x:f>
        <x:v>Rd 1.00 ct.
Malee rd 22 pcs / 0.31 ct
14kt 2.02 g</x:v>
      </x:c>
    </x:row>
    <x:row r="5" ht="48" customHeight="1">
      <x:c r="A5" s="6" t="str">
        <x:v>SR 0033WB</x:v>
      </x:c>
      <x:c r="B5" s="6" t="str">
        <x:v>Infinite Hold</x:v>
      </x:c>
      <x:c r="C5" s="6" t="str">
        <x:v>WB</x:v>
      </x:c>
      <x:c r="D5" s="6" t="str"/>
      <x:c r="E5" s="6" t="str">
        <x:v>rd 20 pcs / 0.30 ct</x:v>
      </x:c>
      <x:c r="F5" s="6" t="str">
        <x:v>14kt 1.45 g</x:v>
      </x:c>
      <x:c r="G5" s="6" t="str">
        <x:v>WBSR0033WB</x:v>
      </x:c>
      <x:c r="H5" s="6" t="str">
        <x:v>The Infinite Hold Collection</x:v>
      </x:c>
      <x:c r="I5" s="6" t="str"/>
      <x:c r="J5" s="6" t="str"/>
      <x:c r="K5" s="6" t="str"/>
      <x:c r="L5" s="6" t="str"/>
      <x:c r="M5" s="6" t="str"/>
      <x:c r="N5" s="6" t="str"/>
      <x:c r="O5" s="6" t="str">
        <x:v>Price on request</x:v>
      </x:c>
      <x:c r="P5" s="7" t="str">
        <x:f>IF(A5="","", "SKU "&amp;A5&amp;". from the "&amp;B5&amp;" collection. Type "&amp;C5&amp;IFERROR(" ("&amp;VLOOKUP(C5,$A$9:$B$14,2,FALSE)&amp;")","")&amp;IF(D5&lt;&gt;"",". center stone "&amp;D5,"")&amp;IF(E5&lt;&gt;"",". Malee "&amp;E5,"")&amp;IF(F5&lt;&gt;"",". gold weight "&amp;F5,""))</x:f>
        <x:v>SKU SR 0033WB. from the Infinite Hold collection. Type WB. Malee rd 20 pcs / 0.30 ct. gold weight 14kt 1.45 g</x:v>
      </x:c>
      <x:c r="Q5" s="7" t="str">
        <x:f>IF(A5="","",TEXTJOIN(CHAR(10),TRUE,IF(D5&lt;&gt;"",D5,""),IF(E5&lt;&gt;"","Malee "&amp;E5,""),IF(F5&lt;&gt;"",F5,"")))</x:f>
        <x:v>Malee rd 20 pcs / 0.30 ct
14kt 1.45 g</x:v>
      </x:c>
    </x:row>
    <x:row r="6" ht="48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7" t="str">
        <x:f>IF(A6="","", "SKU "&amp;A6&amp;". from the "&amp;B6&amp;" collection. Type "&amp;C6&amp;IFERROR(" ("&amp;VLOOKUP(C6,$A$9:$B$14,2,FALSE)&amp;")","")&amp;IF(D6&lt;&gt;"",". center stone "&amp;D6,"")&amp;IF(E6&lt;&gt;"",". Malee "&amp;E6,"")&amp;IF(F6&lt;&gt;"",". gold weight "&amp;F6,""))</x:f>
      </x:c>
      <x:c r="Q6" s="7" t="str">
        <x:f>IF(A6="","",TEXTJOIN(CHAR(10),TRUE,IF(D6&lt;&gt;"",D6,""),IF(E6&lt;&gt;"","Malee "&amp;E6,""),IF(F6&lt;&gt;"",F6,"")))</x:f>
      </x:c>
    </x:row>
    <x:row r="7" ht="48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7" t="str">
        <x:f>IF(A7="","", "SKU "&amp;A7&amp;". from the "&amp;B7&amp;" collection. Type "&amp;C7&amp;IFERROR(" ("&amp;VLOOKUP(C7,$A$9:$B$14,2,FALSE)&amp;")","")&amp;IF(D7&lt;&gt;"",". center stone "&amp;D7,"")&amp;IF(E7&lt;&gt;"",". Malee "&amp;E7,"")&amp;IF(F7&lt;&gt;"",". gold weight "&amp;F7,""))</x:f>
      </x:c>
      <x:c r="Q7" s="7" t="str">
        <x:f>IF(A7="","",TEXTJOIN(CHAR(10),TRUE,IF(D7&lt;&gt;"",D7,""),IF(E7&lt;&gt;"","Malee "&amp;E7,""),IF(F7&lt;&gt;"",F7,"")))</x:f>
      </x:c>
    </x:row>
    <x:row r="8" ht="48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7" t="str">
        <x:f>IF(A8="","", "SKU "&amp;A8&amp;". from the "&amp;B8&amp;" collection. Type "&amp;C8&amp;IFERROR(" ("&amp;VLOOKUP(C8,$A$9:$B$14,2,FALSE)&amp;")","")&amp;IF(D8&lt;&gt;"",". center stone "&amp;D8,"")&amp;IF(E8&lt;&gt;"",". Malee "&amp;E8,"")&amp;IF(F8&lt;&gt;"",". gold weight "&amp;F8,""))</x:f>
      </x:c>
      <x:c r="Q8" s="7" t="str">
        <x:f>IF(A8="","",TEXTJOIN(CHAR(10),TRUE,IF(D8&lt;&gt;"",D8,""),IF(E8&lt;&gt;"","Malee "&amp;E8,""),IF(F8&lt;&gt;"",F8,"")))</x:f>
      </x:c>
    </x:row>
    <x:row r="9" ht="48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7" t="str">
        <x:f>IF(A9="","", "SKU "&amp;A9&amp;". from the "&amp;B9&amp;" collection. Type "&amp;C9&amp;IFERROR(" ("&amp;VLOOKUP(C9,$A$9:$B$14,2,FALSE)&amp;")","")&amp;IF(D9&lt;&gt;"",". center stone "&amp;D9,"")&amp;IF(E9&lt;&gt;"",". Malee "&amp;E9,"")&amp;IF(F9&lt;&gt;"",". gold weight "&amp;F9,""))</x:f>
      </x:c>
      <x:c r="Q9" s="7" t="str">
        <x:f>IF(A9="","",TEXTJOIN(CHAR(10),TRUE,IF(D9&lt;&gt;"",D9,""),IF(E9&lt;&gt;"","Malee "&amp;E9,""),IF(F9&lt;&gt;"",F9,"")))</x:f>
      </x:c>
    </x:row>
    <x:row r="10" ht="48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7" t="str">
        <x:f>IF(A10="","", "SKU "&amp;A10&amp;". from the "&amp;B10&amp;" collection. Type "&amp;C10&amp;IFERROR(" ("&amp;VLOOKUP(C10,$A$9:$B$14,2,FALSE)&amp;")","")&amp;IF(D10&lt;&gt;"",". center stone "&amp;D10,"")&amp;IF(E10&lt;&gt;"",". Malee "&amp;E10,"")&amp;IF(F10&lt;&gt;"",". gold weight "&amp;F10,""))</x:f>
      </x:c>
      <x:c r="Q10" s="7" t="str">
        <x:f>IF(A10="","",TEXTJOIN(CHAR(10),TRUE,IF(D10&lt;&gt;"",D10,""),IF(E10&lt;&gt;"","Malee "&amp;E10,""),IF(F10&lt;&gt;"",F10,"")))</x:f>
      </x:c>
    </x:row>
    <x:row r="11" ht="48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7" t="str">
        <x:f>IF(A11="","", "SKU "&amp;A11&amp;". from the "&amp;B11&amp;" collection. Type "&amp;C11&amp;IFERROR(" ("&amp;VLOOKUP(C11,$A$9:$B$14,2,FALSE)&amp;")","")&amp;IF(D11&lt;&gt;"",". center stone "&amp;D11,"")&amp;IF(E11&lt;&gt;"",". Malee "&amp;E11,"")&amp;IF(F11&lt;&gt;"",". gold weight "&amp;F11,""))</x:f>
      </x:c>
      <x:c r="Q11" s="7" t="str">
        <x:f>IF(A11="","",TEXTJOIN(CHAR(10),TRUE,IF(D11&lt;&gt;"",D11,""),IF(E11&lt;&gt;"","Malee "&amp;E11,""),IF(F11&lt;&gt;"",F11,"")))</x:f>
      </x:c>
    </x:row>
    <x:row r="12" ht="48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7" t="str">
        <x:f>IF(A12="","", "SKU "&amp;A12&amp;". from the "&amp;B12&amp;" collection. Type "&amp;C12&amp;IFERROR(" ("&amp;VLOOKUP(C12,$A$9:$B$14,2,FALSE)&amp;")","")&amp;IF(D12&lt;&gt;"",". center stone "&amp;D12,"")&amp;IF(E12&lt;&gt;"",". Malee "&amp;E12,"")&amp;IF(F12&lt;&gt;"",". gold weight "&amp;F12,""))</x:f>
      </x:c>
      <x:c r="Q12" s="7" t="str">
        <x:f>IF(A12="","",TEXTJOIN(CHAR(10),TRUE,IF(D12&lt;&gt;"",D12,""),IF(E12&lt;&gt;"","Malee "&amp;E12,""),IF(F12&lt;&gt;"",F12,"")))</x:f>
      </x:c>
    </x:row>
    <x:row r="13" ht="48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7" t="str">
        <x:f>IF(A13="","", "SKU "&amp;A13&amp;". from the "&amp;B13&amp;" collection. Type "&amp;C13&amp;IFERROR(" ("&amp;VLOOKUP(C13,$A$9:$B$14,2,FALSE)&amp;")","")&amp;IF(D13&lt;&gt;"",". center stone "&amp;D13,"")&amp;IF(E13&lt;&gt;"",". Malee "&amp;E13,"")&amp;IF(F13&lt;&gt;"",". gold weight "&amp;F13,""))</x:f>
      </x:c>
      <x:c r="Q13" s="7" t="str">
        <x:f>IF(A13="","",TEXTJOIN(CHAR(10),TRUE,IF(D13&lt;&gt;"",D13,""),IF(E13&lt;&gt;"","Malee "&amp;E13,""),IF(F13&lt;&gt;"",F13,"")))</x:f>
      </x:c>
    </x:row>
    <x:row r="14" ht="48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7" t="str">
        <x:f>IF(A14="","", "SKU "&amp;A14&amp;". from the "&amp;B14&amp;" collection. Type "&amp;C14&amp;IFERROR(" ("&amp;VLOOKUP(C14,$A$9:$B$14,2,FALSE)&amp;")","")&amp;IF(D14&lt;&gt;"",". center stone "&amp;D14,"")&amp;IF(E14&lt;&gt;"",". Malee "&amp;E14,"")&amp;IF(F14&lt;&gt;"",". gold weight "&amp;F14,""))</x:f>
      </x:c>
      <x:c r="Q14" s="7" t="str">
        <x:f>IF(A14="","",TEXTJOIN(CHAR(10),TRUE,IF(D14&lt;&gt;"",D14,""),IF(E14&lt;&gt;"","Malee "&amp;E14,""),IF(F14&lt;&gt;"",F14,"")))</x:f>
      </x:c>
    </x:row>
    <x:row r="15" ht="48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7" t="str">
        <x:f>IF(A15="","", "SKU "&amp;A15&amp;". from the "&amp;B15&amp;" collection. Type "&amp;C15&amp;IFERROR(" ("&amp;VLOOKUP(C15,$A$9:$B$14,2,FALSE)&amp;")","")&amp;IF(D15&lt;&gt;"",". center stone "&amp;D15,"")&amp;IF(E15&lt;&gt;"",". Malee "&amp;E15,"")&amp;IF(F15&lt;&gt;"",". gold weight "&amp;F15,""))</x:f>
      </x:c>
      <x:c r="Q15" s="7" t="str">
        <x:f>IF(A15="","",TEXTJOIN(CHAR(10),TRUE,IF(D15&lt;&gt;"",D15,""),IF(E15&lt;&gt;"","Malee "&amp;E15,""),IF(F15&lt;&gt;"",F15,"")))</x:f>
      </x:c>
    </x:row>
    <x:row r="16" ht="48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7" t="str">
        <x:f>IF(A16="","", "SKU "&amp;A16&amp;". from the "&amp;B16&amp;" collection. Type "&amp;C16&amp;IFERROR(" ("&amp;VLOOKUP(C16,$A$9:$B$14,2,FALSE)&amp;")","")&amp;IF(D16&lt;&gt;"",". center stone "&amp;D16,"")&amp;IF(E16&lt;&gt;"",". Malee "&amp;E16,"")&amp;IF(F16&lt;&gt;"",". gold weight "&amp;F16,""))</x:f>
      </x:c>
      <x:c r="Q16" s="7" t="str">
        <x:f>IF(A16="","",TEXTJOIN(CHAR(10),TRUE,IF(D16&lt;&gt;"",D16,""),IF(E16&lt;&gt;"","Malee "&amp;E16,""),IF(F16&lt;&gt;"",F16,"")))</x:f>
      </x:c>
    </x:row>
    <x:row r="17" ht="48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7" t="str">
        <x:f>IF(A17="","", "SKU "&amp;A17&amp;". from the "&amp;B17&amp;" collection. Type "&amp;C17&amp;IFERROR(" ("&amp;VLOOKUP(C17,$A$9:$B$14,2,FALSE)&amp;")","")&amp;IF(D17&lt;&gt;"",". center stone "&amp;D17,"")&amp;IF(E17&lt;&gt;"",". Malee "&amp;E17,"")&amp;IF(F17&lt;&gt;"",". gold weight "&amp;F17,""))</x:f>
      </x:c>
      <x:c r="Q17" s="7" t="str">
        <x:f>IF(A17="","",TEXTJOIN(CHAR(10),TRUE,IF(D17&lt;&gt;"",D17,""),IF(E17&lt;&gt;"","Malee "&amp;E17,""),IF(F17&lt;&gt;"",F17,"")))</x:f>
      </x:c>
    </x:row>
    <x:row r="18" ht="48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7" t="str">
        <x:f>IF(A18="","", "SKU "&amp;A18&amp;". from the "&amp;B18&amp;" collection. Type "&amp;C18&amp;IFERROR(" ("&amp;VLOOKUP(C18,$A$9:$B$14,2,FALSE)&amp;")","")&amp;IF(D18&lt;&gt;"",". center stone "&amp;D18,"")&amp;IF(E18&lt;&gt;"",". Malee "&amp;E18,"")&amp;IF(F18&lt;&gt;"",". gold weight "&amp;F18,""))</x:f>
      </x:c>
      <x:c r="Q18" s="7" t="str">
        <x:f>IF(A18="","",TEXTJOIN(CHAR(10),TRUE,IF(D18&lt;&gt;"",D18,""),IF(E18&lt;&gt;"","Malee "&amp;E18,""),IF(F18&lt;&gt;"",F18,"")))</x:f>
      </x:c>
    </x:row>
    <x:row r="19" ht="48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7" t="str">
        <x:f>IF(A19="","", "SKU "&amp;A19&amp;". from the "&amp;B19&amp;" collection. Type "&amp;C19&amp;IFERROR(" ("&amp;VLOOKUP(C19,$A$9:$B$14,2,FALSE)&amp;")","")&amp;IF(D19&lt;&gt;"",". center stone "&amp;D19,"")&amp;IF(E19&lt;&gt;"",". Malee "&amp;E19,"")&amp;IF(F19&lt;&gt;"",". gold weight "&amp;F19,""))</x:f>
      </x:c>
      <x:c r="Q19" s="7" t="str">
        <x:f>IF(A19="","",TEXTJOIN(CHAR(10),TRUE,IF(D19&lt;&gt;"",D19,""),IF(E19&lt;&gt;"","Malee "&amp;E19,""),IF(F19&lt;&gt;"",F19,"")))</x:f>
      </x:c>
    </x:row>
    <x:row r="20" ht="48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7" t="str">
        <x:f>IF(A20="","", "SKU "&amp;A20&amp;". from the "&amp;B20&amp;" collection. Type "&amp;C20&amp;IFERROR(" ("&amp;VLOOKUP(C20,$A$9:$B$14,2,FALSE)&amp;")","")&amp;IF(D20&lt;&gt;"",". center stone "&amp;D20,"")&amp;IF(E20&lt;&gt;"",". Malee "&amp;E20,"")&amp;IF(F20&lt;&gt;"",". gold weight "&amp;F20,""))</x:f>
      </x:c>
      <x:c r="Q20" s="7" t="str">
        <x:f>IF(A20="","",TEXTJOIN(CHAR(10),TRUE,IF(D20&lt;&gt;"",D20,""),IF(E20&lt;&gt;"","Malee "&amp;E20,""),IF(F20&lt;&gt;"",F20,"")))</x:f>
      </x:c>
    </x:row>
    <x:row r="21" ht="48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7" t="str">
        <x:f>IF(A21="","", "SKU "&amp;A21&amp;". from the "&amp;B21&amp;" collection. Type "&amp;C21&amp;IFERROR(" ("&amp;VLOOKUP(C21,$A$9:$B$14,2,FALSE)&amp;")","")&amp;IF(D21&lt;&gt;"",". center stone "&amp;D21,"")&amp;IF(E21&lt;&gt;"",". Malee "&amp;E21,"")&amp;IF(F21&lt;&gt;"",". gold weight "&amp;F21,""))</x:f>
      </x:c>
      <x:c r="Q21" s="7" t="str">
        <x:f>IF(A21="","",TEXTJOIN(CHAR(10),TRUE,IF(D21&lt;&gt;"",D21,""),IF(E21&lt;&gt;"","Malee "&amp;E21,""),IF(F21&lt;&gt;"",F21,"")))</x:f>
      </x:c>
    </x:row>
    <x:row r="22" ht="48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7" t="str">
        <x:f>IF(A22="","", "SKU "&amp;A22&amp;". from the "&amp;B22&amp;" collection. Type "&amp;C22&amp;IFERROR(" ("&amp;VLOOKUP(C22,$A$9:$B$14,2,FALSE)&amp;")","")&amp;IF(D22&lt;&gt;"",". center stone "&amp;D22,"")&amp;IF(E22&lt;&gt;"",". Malee "&amp;E22,"")&amp;IF(F22&lt;&gt;"",". gold weight "&amp;F22,""))</x:f>
      </x:c>
      <x:c r="Q22" s="7" t="str">
        <x:f>IF(A22="","",TEXTJOIN(CHAR(10),TRUE,IF(D22&lt;&gt;"",D22,""),IF(E22&lt;&gt;"","Malee "&amp;E22,""),IF(F22&lt;&gt;"",F22,"")))</x:f>
      </x:c>
    </x:row>
    <x:row r="23" ht="48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7" t="str">
        <x:f>IF(A23="","", "SKU "&amp;A23&amp;". from the "&amp;B23&amp;" collection. Type "&amp;C23&amp;IFERROR(" ("&amp;VLOOKUP(C23,$A$9:$B$14,2,FALSE)&amp;")","")&amp;IF(D23&lt;&gt;"",". center stone "&amp;D23,"")&amp;IF(E23&lt;&gt;"",". Malee "&amp;E23,"")&amp;IF(F23&lt;&gt;"",". gold weight "&amp;F23,""))</x:f>
      </x:c>
      <x:c r="Q23" s="7" t="str">
        <x:f>IF(A23="","",TEXTJOIN(CHAR(10),TRUE,IF(D23&lt;&gt;"",D23,""),IF(E23&lt;&gt;"","Malee "&amp;E23,""),IF(F23&lt;&gt;"",F23,"")))</x:f>
      </x:c>
    </x:row>
    <x:row r="24" ht="48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7" t="str">
        <x:f>IF(A24="","", "SKU "&amp;A24&amp;". from the "&amp;B24&amp;" collection. Type "&amp;C24&amp;IFERROR(" ("&amp;VLOOKUP(C24,$A$9:$B$14,2,FALSE)&amp;")","")&amp;IF(D24&lt;&gt;"",". center stone "&amp;D24,"")&amp;IF(E24&lt;&gt;"",". Malee "&amp;E24,"")&amp;IF(F24&lt;&gt;"",". gold weight "&amp;F24,""))</x:f>
      </x:c>
      <x:c r="Q24" s="7" t="str">
        <x:f>IF(A24="","",TEXTJOIN(CHAR(10),TRUE,IF(D24&lt;&gt;"",D24,""),IF(E24&lt;&gt;"","Malee "&amp;E24,""),IF(F24&lt;&gt;"",F24,"")))</x:f>
      </x:c>
    </x:row>
    <x:row r="25" ht="48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7" t="str">
        <x:f>IF(A25="","", "SKU "&amp;A25&amp;". from the "&amp;B25&amp;" collection. Type "&amp;C25&amp;IFERROR(" ("&amp;VLOOKUP(C25,$A$9:$B$14,2,FALSE)&amp;")","")&amp;IF(D25&lt;&gt;"",". center stone "&amp;D25,"")&amp;IF(E25&lt;&gt;"",". Malee "&amp;E25,"")&amp;IF(F25&lt;&gt;"",". gold weight "&amp;F25,""))</x:f>
      </x:c>
      <x:c r="Q25" s="7" t="str">
        <x:f>IF(A25="","",TEXTJOIN(CHAR(10),TRUE,IF(D25&lt;&gt;"",D25,""),IF(E25&lt;&gt;"","Malee "&amp;E25,""),IF(F25&lt;&gt;"",F25,"")))</x:f>
      </x:c>
    </x:row>
    <x:row r="26" ht="48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7" t="str">
        <x:f>IF(A26="","", "SKU "&amp;A26&amp;". from the "&amp;B26&amp;" collection. Type "&amp;C26&amp;IFERROR(" ("&amp;VLOOKUP(C26,$A$9:$B$14,2,FALSE)&amp;")","")&amp;IF(D26&lt;&gt;"",". center stone "&amp;D26,"")&amp;IF(E26&lt;&gt;"",". Malee "&amp;E26,"")&amp;IF(F26&lt;&gt;"",". gold weight "&amp;F26,""))</x:f>
      </x:c>
      <x:c r="Q26" s="7" t="str">
        <x:f>IF(A26="","",TEXTJOIN(CHAR(10),TRUE,IF(D26&lt;&gt;"",D26,""),IF(E26&lt;&gt;"","Malee "&amp;E26,""),IF(F26&lt;&gt;"",F26,"")))</x:f>
      </x:c>
    </x:row>
    <x:row r="27" ht="48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7" t="str">
        <x:f>IF(A27="","", "SKU "&amp;A27&amp;". from the "&amp;B27&amp;" collection. Type "&amp;C27&amp;IFERROR(" ("&amp;VLOOKUP(C27,$A$9:$B$14,2,FALSE)&amp;")","")&amp;IF(D27&lt;&gt;"",". center stone "&amp;D27,"")&amp;IF(E27&lt;&gt;"",". Malee "&amp;E27,"")&amp;IF(F27&lt;&gt;"",". gold weight "&amp;F27,""))</x:f>
      </x:c>
      <x:c r="Q27" s="7" t="str">
        <x:f>IF(A27="","",TEXTJOIN(CHAR(10),TRUE,IF(D27&lt;&gt;"",D27,""),IF(E27&lt;&gt;"","Malee "&amp;E27,""),IF(F27&lt;&gt;"",F27,"")))</x:f>
      </x:c>
    </x:row>
    <x:row r="28" ht="48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7" t="str">
        <x:f>IF(A28="","", "SKU "&amp;A28&amp;". from the "&amp;B28&amp;" collection. Type "&amp;C28&amp;IFERROR(" ("&amp;VLOOKUP(C28,$A$9:$B$14,2,FALSE)&amp;")","")&amp;IF(D28&lt;&gt;"",". center stone "&amp;D28,"")&amp;IF(E28&lt;&gt;"",". Malee "&amp;E28,"")&amp;IF(F28&lt;&gt;"",". gold weight "&amp;F28,""))</x:f>
      </x:c>
      <x:c r="Q28" s="7" t="str">
        <x:f>IF(A28="","",TEXTJOIN(CHAR(10),TRUE,IF(D28&lt;&gt;"",D28,""),IF(E28&lt;&gt;"","Malee "&amp;E28,""),IF(F28&lt;&gt;"",F28,"")))</x:f>
      </x:c>
    </x:row>
    <x:row r="29" ht="48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7" t="str">
        <x:f>IF(A29="","", "SKU "&amp;A29&amp;". from the "&amp;B29&amp;" collection. Type "&amp;C29&amp;IFERROR(" ("&amp;VLOOKUP(C29,$A$9:$B$14,2,FALSE)&amp;")","")&amp;IF(D29&lt;&gt;"",". center stone "&amp;D29,"")&amp;IF(E29&lt;&gt;"",". Malee "&amp;E29,"")&amp;IF(F29&lt;&gt;"",". gold weight "&amp;F29,""))</x:f>
      </x:c>
      <x:c r="Q29" s="7" t="str">
        <x:f>IF(A29="","",TEXTJOIN(CHAR(10),TRUE,IF(D29&lt;&gt;"",D29,""),IF(E29&lt;&gt;"","Malee "&amp;E29,""),IF(F29&lt;&gt;"",F29,"")))</x:f>
      </x:c>
    </x:row>
    <x:row r="30" ht="48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7" t="str">
        <x:f>IF(A30="","", "SKU "&amp;A30&amp;". from the "&amp;B30&amp;" collection. Type "&amp;C30&amp;IFERROR(" ("&amp;VLOOKUP(C30,$A$9:$B$14,2,FALSE)&amp;")","")&amp;IF(D30&lt;&gt;"",". center stone "&amp;D30,"")&amp;IF(E30&lt;&gt;"",". Malee "&amp;E30,"")&amp;IF(F30&lt;&gt;"",". gold weight "&amp;F30,""))</x:f>
      </x:c>
      <x:c r="Q30" s="7" t="str">
        <x:f>IF(A30="","",TEXTJOIN(CHAR(10),TRUE,IF(D30&lt;&gt;"",D30,""),IF(E30&lt;&gt;"","Malee "&amp;E30,""),IF(F30&lt;&gt;"",F30,"")))</x:f>
      </x:c>
    </x:row>
    <x:row r="31" ht="48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7" t="str">
        <x:f>IF(A31="","", "SKU "&amp;A31&amp;". from the "&amp;B31&amp;" collection. Type "&amp;C31&amp;IFERROR(" ("&amp;VLOOKUP(C31,$A$9:$B$14,2,FALSE)&amp;")","")&amp;IF(D31&lt;&gt;"",". center stone "&amp;D31,"")&amp;IF(E31&lt;&gt;"",". Malee "&amp;E31,"")&amp;IF(F31&lt;&gt;"",". gold weight "&amp;F31,""))</x:f>
      </x:c>
      <x:c r="Q31" s="7" t="str">
        <x:f>IF(A31="","",TEXTJOIN(CHAR(10),TRUE,IF(D31&lt;&gt;"",D31,""),IF(E31&lt;&gt;"","Malee "&amp;E31,""),IF(F31&lt;&gt;"",F31,"")))</x:f>
      </x:c>
    </x:row>
    <x:row r="32" ht="48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7" t="str">
        <x:f>IF(A32="","", "SKU "&amp;A32&amp;". from the "&amp;B32&amp;" collection. Type "&amp;C32&amp;IFERROR(" ("&amp;VLOOKUP(C32,$A$9:$B$14,2,FALSE)&amp;")","")&amp;IF(D32&lt;&gt;"",". center stone "&amp;D32,"")&amp;IF(E32&lt;&gt;"",". Malee "&amp;E32,"")&amp;IF(F32&lt;&gt;"",". gold weight "&amp;F32,""))</x:f>
      </x:c>
      <x:c r="Q32" s="7" t="str">
        <x:f>IF(A32="","",TEXTJOIN(CHAR(10),TRUE,IF(D32&lt;&gt;"",D32,""),IF(E32&lt;&gt;"","Malee "&amp;E32,""),IF(F32&lt;&gt;"",F32,"")))</x:f>
      </x:c>
    </x:row>
    <x:row r="33" ht="48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7" t="str">
        <x:f>IF(A33="","", "SKU "&amp;A33&amp;". from the "&amp;B33&amp;" collection. Type "&amp;C33&amp;IFERROR(" ("&amp;VLOOKUP(C33,$A$9:$B$14,2,FALSE)&amp;")","")&amp;IF(D33&lt;&gt;"",". center stone "&amp;D33,"")&amp;IF(E33&lt;&gt;"",". Malee "&amp;E33,"")&amp;IF(F33&lt;&gt;"",". gold weight "&amp;F33,""))</x:f>
      </x:c>
      <x:c r="Q33" s="7" t="str">
        <x:f>IF(A33="","",TEXTJOIN(CHAR(10),TRUE,IF(D33&lt;&gt;"",D33,""),IF(E33&lt;&gt;"","Malee "&amp;E33,""),IF(F33&lt;&gt;"",F33,"")))</x:f>
      </x:c>
    </x:row>
    <x:row r="34" ht="48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7" t="str">
        <x:f>IF(A34="","", "SKU "&amp;A34&amp;". from the "&amp;B34&amp;" collection. Type "&amp;C34&amp;IFERROR(" ("&amp;VLOOKUP(C34,$A$9:$B$14,2,FALSE)&amp;")","")&amp;IF(D34&lt;&gt;"",". center stone "&amp;D34,"")&amp;IF(E34&lt;&gt;"",". Malee "&amp;E34,"")&amp;IF(F34&lt;&gt;"",". gold weight "&amp;F34,""))</x:f>
      </x:c>
      <x:c r="Q34" s="7" t="str">
        <x:f>IF(A34="","",TEXTJOIN(CHAR(10),TRUE,IF(D34&lt;&gt;"",D34,""),IF(E34&lt;&gt;"","Malee "&amp;E34,""),IF(F34&lt;&gt;"",F34,"")))</x:f>
      </x:c>
    </x:row>
    <x:row r="35" ht="48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7" t="str">
        <x:f>IF(A35="","", "SKU "&amp;A35&amp;". from the "&amp;B35&amp;" collection. Type "&amp;C35&amp;IFERROR(" ("&amp;VLOOKUP(C35,$A$9:$B$14,2,FALSE)&amp;")","")&amp;IF(D35&lt;&gt;"",". center stone "&amp;D35,"")&amp;IF(E35&lt;&gt;"",". Malee "&amp;E35,"")&amp;IF(F35&lt;&gt;"",". gold weight "&amp;F35,""))</x:f>
      </x:c>
      <x:c r="Q35" s="7" t="str">
        <x:f>IF(A35="","",TEXTJOIN(CHAR(10),TRUE,IF(D35&lt;&gt;"",D35,""),IF(E35&lt;&gt;"","Malee "&amp;E35,""),IF(F35&lt;&gt;"",F35,"")))</x:f>
      </x:c>
    </x:row>
    <x:row r="36" ht="48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7" t="str">
        <x:f>IF(A36="","", "SKU "&amp;A36&amp;". from the "&amp;B36&amp;" collection. Type "&amp;C36&amp;IFERROR(" ("&amp;VLOOKUP(C36,$A$9:$B$14,2,FALSE)&amp;")","")&amp;IF(D36&lt;&gt;"",". center stone "&amp;D36,"")&amp;IF(E36&lt;&gt;"",". Malee "&amp;E36,"")&amp;IF(F36&lt;&gt;"",". gold weight "&amp;F36,""))</x:f>
      </x:c>
      <x:c r="Q36" s="7" t="str">
        <x:f>IF(A36="","",TEXTJOIN(CHAR(10),TRUE,IF(D36&lt;&gt;"",D36,""),IF(E36&lt;&gt;"","Malee "&amp;E36,""),IF(F36&lt;&gt;"",F36,"")))</x:f>
      </x:c>
    </x:row>
    <x:row r="37" ht="48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7" t="str">
        <x:f>IF(A37="","", "SKU "&amp;A37&amp;". from the "&amp;B37&amp;" collection. Type "&amp;C37&amp;IFERROR(" ("&amp;VLOOKUP(C37,$A$9:$B$14,2,FALSE)&amp;")","")&amp;IF(D37&lt;&gt;"",". center stone "&amp;D37,"")&amp;IF(E37&lt;&gt;"",". Malee "&amp;E37,"")&amp;IF(F37&lt;&gt;"",". gold weight "&amp;F37,""))</x:f>
      </x:c>
      <x:c r="Q37" s="7" t="str">
        <x:f>IF(A37="","",TEXTJOIN(CHAR(10),TRUE,IF(D37&lt;&gt;"",D37,""),IF(E37&lt;&gt;"","Malee "&amp;E37,""),IF(F37&lt;&gt;"",F37,"")))</x:f>
      </x:c>
    </x:row>
    <x:row r="38" ht="48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7" t="str">
        <x:f>IF(A38="","", "SKU "&amp;A38&amp;". from the "&amp;B38&amp;" collection. Type "&amp;C38&amp;IFERROR(" ("&amp;VLOOKUP(C38,$A$9:$B$14,2,FALSE)&amp;")","")&amp;IF(D38&lt;&gt;"",". center stone "&amp;D38,"")&amp;IF(E38&lt;&gt;"",". Malee "&amp;E38,"")&amp;IF(F38&lt;&gt;"",". gold weight "&amp;F38,""))</x:f>
      </x:c>
      <x:c r="Q38" s="7" t="str">
        <x:f>IF(A38="","",TEXTJOIN(CHAR(10),TRUE,IF(D38&lt;&gt;"",D38,""),IF(E38&lt;&gt;"","Malee "&amp;E38,""),IF(F38&lt;&gt;"",F38,"")))</x:f>
      </x:c>
    </x:row>
    <x:row r="39" ht="48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7" t="str">
        <x:f>IF(A39="","", "SKU "&amp;A39&amp;". from the "&amp;B39&amp;" collection. Type "&amp;C39&amp;IFERROR(" ("&amp;VLOOKUP(C39,$A$9:$B$14,2,FALSE)&amp;")","")&amp;IF(D39&lt;&gt;"",". center stone "&amp;D39,"")&amp;IF(E39&lt;&gt;"",". Malee "&amp;E39,"")&amp;IF(F39&lt;&gt;"",". gold weight "&amp;F39,""))</x:f>
      </x:c>
      <x:c r="Q39" s="7" t="str">
        <x:f>IF(A39="","",TEXTJOIN(CHAR(10),TRUE,IF(D39&lt;&gt;"",D39,""),IF(E39&lt;&gt;"","Malee "&amp;E39,""),IF(F39&lt;&gt;"",F39,"")))</x:f>
      </x:c>
    </x:row>
    <x:row r="40" ht="48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7" t="str">
        <x:f>IF(A40="","", "SKU "&amp;A40&amp;". from the "&amp;B40&amp;" collection. Type "&amp;C40&amp;IFERROR(" ("&amp;VLOOKUP(C40,$A$9:$B$14,2,FALSE)&amp;")","")&amp;IF(D40&lt;&gt;"",". center stone "&amp;D40,"")&amp;IF(E40&lt;&gt;"",". Malee "&amp;E40,"")&amp;IF(F40&lt;&gt;"",". gold weight "&amp;F40,""))</x:f>
      </x:c>
      <x:c r="Q40" s="7" t="str">
        <x:f>IF(A40="","",TEXTJOIN(CHAR(10),TRUE,IF(D40&lt;&gt;"",D40,""),IF(E40&lt;&gt;"","Malee "&amp;E40,""),IF(F40&lt;&gt;"",F40,"")))</x:f>
      </x:c>
    </x:row>
    <x:row r="41" ht="48" customHeight="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7" t="str">
        <x:f>IF(A41="","", "SKU "&amp;A41&amp;". from the "&amp;B41&amp;" collection. Type "&amp;C41&amp;IFERROR(" ("&amp;VLOOKUP(C41,$A$9:$B$14,2,FALSE)&amp;")","")&amp;IF(D41&lt;&gt;"",". center stone "&amp;D41,"")&amp;IF(E41&lt;&gt;"",". Malee "&amp;E41,"")&amp;IF(F41&lt;&gt;"",". gold weight "&amp;F41,""))</x:f>
      </x:c>
      <x:c r="Q41" s="7" t="str">
        <x:f>IF(A41="","",TEXTJOIN(CHAR(10),TRUE,IF(D41&lt;&gt;"",D41,""),IF(E41&lt;&gt;"","Malee "&amp;E41,""),IF(F41&lt;&gt;"",F41,"")))</x:f>
      </x:c>
    </x:row>
    <x:row r="42" ht="48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7" t="str">
        <x:f>IF(A42="","", "SKU "&amp;A42&amp;". from the "&amp;B42&amp;" collection. Type "&amp;C42&amp;IFERROR(" ("&amp;VLOOKUP(C42,$A$9:$B$14,2,FALSE)&amp;")","")&amp;IF(D42&lt;&gt;"",". center stone "&amp;D42,"")&amp;IF(E42&lt;&gt;"",". Malee "&amp;E42,"")&amp;IF(F42&lt;&gt;"",". gold weight "&amp;F42,""))</x:f>
      </x:c>
      <x:c r="Q42" s="7" t="str">
        <x:f>IF(A42="","",TEXTJOIN(CHAR(10),TRUE,IF(D42&lt;&gt;"",D42,""),IF(E42&lt;&gt;"","Malee "&amp;E42,""),IF(F42&lt;&gt;"",F42,"")))</x:f>
      </x:c>
    </x:row>
    <x:row r="43" ht="48" customHeight="1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7" t="str">
        <x:f>IF(A43="","", "SKU "&amp;A43&amp;". from the "&amp;B43&amp;" collection. Type "&amp;C43&amp;IFERROR(" ("&amp;VLOOKUP(C43,$A$9:$B$14,2,FALSE)&amp;")","")&amp;IF(D43&lt;&gt;"",". center stone "&amp;D43,"")&amp;IF(E43&lt;&gt;"",". Malee "&amp;E43,"")&amp;IF(F43&lt;&gt;"",". gold weight "&amp;F43,""))</x:f>
      </x:c>
      <x:c r="Q43" s="7" t="str">
        <x:f>IF(A43="","",TEXTJOIN(CHAR(10),TRUE,IF(D43&lt;&gt;"",D43,""),IF(E43&lt;&gt;"","Malee "&amp;E43,""),IF(F43&lt;&gt;"",F43,"")))</x:f>
      </x:c>
    </x:row>
    <x:row r="44" ht="48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7" t="str">
        <x:f>IF(A44="","", "SKU "&amp;A44&amp;". from the "&amp;B44&amp;" collection. Type "&amp;C44&amp;IFERROR(" ("&amp;VLOOKUP(C44,$A$9:$B$14,2,FALSE)&amp;")","")&amp;IF(D44&lt;&gt;"",". center stone "&amp;D44,"")&amp;IF(E44&lt;&gt;"",". Malee "&amp;E44,"")&amp;IF(F44&lt;&gt;"",". gold weight "&amp;F44,""))</x:f>
      </x:c>
      <x:c r="Q44" s="7" t="str">
        <x:f>IF(A44="","",TEXTJOIN(CHAR(10),TRUE,IF(D44&lt;&gt;"",D44,""),IF(E44&lt;&gt;"","Malee "&amp;E44,""),IF(F44&lt;&gt;"",F44,"")))</x:f>
      </x:c>
    </x:row>
    <x:row r="45" ht="48" customHeight="1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7" t="str">
        <x:f>IF(A45="","", "SKU "&amp;A45&amp;". from the "&amp;B45&amp;" collection. Type "&amp;C45&amp;IFERROR(" ("&amp;VLOOKUP(C45,$A$9:$B$14,2,FALSE)&amp;")","")&amp;IF(D45&lt;&gt;"",". center stone "&amp;D45,"")&amp;IF(E45&lt;&gt;"",". Malee "&amp;E45,"")&amp;IF(F45&lt;&gt;"",". gold weight "&amp;F45,""))</x:f>
      </x:c>
      <x:c r="Q45" s="7" t="str">
        <x:f>IF(A45="","",TEXTJOIN(CHAR(10),TRUE,IF(D45&lt;&gt;"",D45,""),IF(E45&lt;&gt;"","Malee "&amp;E45,""),IF(F45&lt;&gt;"",F45,"")))</x:f>
      </x:c>
    </x:row>
    <x:row r="46" ht="48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7" t="str">
        <x:f>IF(A46="","", "SKU "&amp;A46&amp;". from the "&amp;B46&amp;" collection. Type "&amp;C46&amp;IFERROR(" ("&amp;VLOOKUP(C46,$A$9:$B$14,2,FALSE)&amp;")","")&amp;IF(D46&lt;&gt;"",". center stone "&amp;D46,"")&amp;IF(E46&lt;&gt;"",". Malee "&amp;E46,"")&amp;IF(F46&lt;&gt;"",". gold weight "&amp;F46,""))</x:f>
      </x:c>
      <x:c r="Q46" s="7" t="str">
        <x:f>IF(A46="","",TEXTJOIN(CHAR(10),TRUE,IF(D46&lt;&gt;"",D46,""),IF(E46&lt;&gt;"","Malee "&amp;E46,""),IF(F46&lt;&gt;"",F46,"")))</x:f>
      </x:c>
    </x:row>
    <x:row r="47" ht="48" customHeight="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7" t="str">
        <x:f>IF(A47="","", "SKU "&amp;A47&amp;". from the "&amp;B47&amp;" collection. Type "&amp;C47&amp;IFERROR(" ("&amp;VLOOKUP(C47,$A$9:$B$14,2,FALSE)&amp;")","")&amp;IF(D47&lt;&gt;"",". center stone "&amp;D47,"")&amp;IF(E47&lt;&gt;"",". Malee "&amp;E47,"")&amp;IF(F47&lt;&gt;"",". gold weight "&amp;F47,""))</x:f>
      </x:c>
      <x:c r="Q47" s="7" t="str">
        <x:f>IF(A47="","",TEXTJOIN(CHAR(10),TRUE,IF(D47&lt;&gt;"",D47,""),IF(E47&lt;&gt;"","Malee "&amp;E47,""),IF(F47&lt;&gt;"",F47,"")))</x:f>
      </x:c>
    </x:row>
    <x:row r="48" ht="48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7" t="str">
        <x:f>IF(A48="","", "SKU "&amp;A48&amp;". from the "&amp;B48&amp;" collection. Type "&amp;C48&amp;IFERROR(" ("&amp;VLOOKUP(C48,$A$9:$B$14,2,FALSE)&amp;")","")&amp;IF(D48&lt;&gt;"",". center stone "&amp;D48,"")&amp;IF(E48&lt;&gt;"",". Malee "&amp;E48,"")&amp;IF(F48&lt;&gt;"",". gold weight "&amp;F48,""))</x:f>
      </x:c>
      <x:c r="Q48" s="7" t="str">
        <x:f>IF(A48="","",TEXTJOIN(CHAR(10),TRUE,IF(D48&lt;&gt;"",D48,""),IF(E48&lt;&gt;"","Malee "&amp;E48,""),IF(F48&lt;&gt;"",F48,"")))</x:f>
      </x:c>
    </x:row>
    <x:row r="49" ht="48" customHeight="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7" t="str">
        <x:f>IF(A49="","", "SKU "&amp;A49&amp;". from the "&amp;B49&amp;" collection. Type "&amp;C49&amp;IFERROR(" ("&amp;VLOOKUP(C49,$A$9:$B$14,2,FALSE)&amp;")","")&amp;IF(D49&lt;&gt;"",". center stone "&amp;D49,"")&amp;IF(E49&lt;&gt;"",". Malee "&amp;E49,"")&amp;IF(F49&lt;&gt;"",". gold weight "&amp;F49,""))</x:f>
      </x:c>
      <x:c r="Q49" s="7" t="str">
        <x:f>IF(A49="","",TEXTJOIN(CHAR(10),TRUE,IF(D49&lt;&gt;"",D49,""),IF(E49&lt;&gt;"","Malee "&amp;E49,""),IF(F49&lt;&gt;"",F49,"")))</x:f>
      </x:c>
    </x:row>
    <x:row r="50" ht="48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7" t="str">
        <x:f>IF(A50="","", "SKU "&amp;A50&amp;". from the "&amp;B50&amp;" collection. Type "&amp;C50&amp;IFERROR(" ("&amp;VLOOKUP(C50,$A$9:$B$14,2,FALSE)&amp;")","")&amp;IF(D50&lt;&gt;"",". center stone "&amp;D50,"")&amp;IF(E50&lt;&gt;"",". Malee "&amp;E50,"")&amp;IF(F50&lt;&gt;"",". gold weight "&amp;F50,""))</x:f>
      </x:c>
      <x:c r="Q50" s="7" t="str">
        <x:f>IF(A50="","",TEXTJOIN(CHAR(10),TRUE,IF(D50&lt;&gt;"",D50,""),IF(E50&lt;&gt;"","Malee "&amp;E50,""),IF(F50&lt;&gt;"",F50,"")))</x:f>
      </x:c>
    </x:row>
    <x:row r="51" ht="48" customHeight="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7" t="str">
        <x:f>IF(A51="","", "SKU "&amp;A51&amp;". from the "&amp;B51&amp;" collection. Type "&amp;C51&amp;IFERROR(" ("&amp;VLOOKUP(C51,$A$9:$B$14,2,FALSE)&amp;")","")&amp;IF(D51&lt;&gt;"",". center stone "&amp;D51,"")&amp;IF(E51&lt;&gt;"",". Malee "&amp;E51,"")&amp;IF(F51&lt;&gt;"",". gold weight "&amp;F51,""))</x:f>
      </x:c>
      <x:c r="Q51" s="7" t="str">
        <x:f>IF(A51="","",TEXTJOIN(CHAR(10),TRUE,IF(D51&lt;&gt;"",D51,""),IF(E51&lt;&gt;"","Malee "&amp;E51,""),IF(F51&lt;&gt;"",F51,"")))</x:f>
      </x:c>
    </x:row>
    <x:row r="52" ht="48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7" t="str">
        <x:f>IF(A52="","", "SKU "&amp;A52&amp;". from the "&amp;B52&amp;" collection. Type "&amp;C52&amp;IFERROR(" ("&amp;VLOOKUP(C52,$A$9:$B$14,2,FALSE)&amp;")","")&amp;IF(D52&lt;&gt;"",". center stone "&amp;D52,"")&amp;IF(E52&lt;&gt;"",". Malee "&amp;E52,"")&amp;IF(F52&lt;&gt;"",". gold weight "&amp;F52,""))</x:f>
      </x:c>
      <x:c r="Q52" s="7" t="str">
        <x:f>IF(A52="","",TEXTJOIN(CHAR(10),TRUE,IF(D52&lt;&gt;"",D52,""),IF(E52&lt;&gt;"","Malee "&amp;E52,""),IF(F52&lt;&gt;"",F52,"")))</x:f>
      </x:c>
    </x:row>
    <x:row r="53" ht="48" customHeight="1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7" t="str">
        <x:f>IF(A53="","", "SKU "&amp;A53&amp;". from the "&amp;B53&amp;" collection. Type "&amp;C53&amp;IFERROR(" ("&amp;VLOOKUP(C53,$A$9:$B$14,2,FALSE)&amp;")","")&amp;IF(D53&lt;&gt;"",". center stone "&amp;D53,"")&amp;IF(E53&lt;&gt;"",". Malee "&amp;E53,"")&amp;IF(F53&lt;&gt;"",". gold weight "&amp;F53,""))</x:f>
      </x:c>
      <x:c r="Q53" s="7" t="str">
        <x:f>IF(A53="","",TEXTJOIN(CHAR(10),TRUE,IF(D53&lt;&gt;"",D53,""),IF(E53&lt;&gt;"","Malee "&amp;E53,""),IF(F53&lt;&gt;"",F53,"")))</x:f>
      </x:c>
    </x:row>
    <x:row r="54" ht="48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7" t="str">
        <x:f>IF(A54="","", "SKU "&amp;A54&amp;". from the "&amp;B54&amp;" collection. Type "&amp;C54&amp;IFERROR(" ("&amp;VLOOKUP(C54,$A$9:$B$14,2,FALSE)&amp;")","")&amp;IF(D54&lt;&gt;"",". center stone "&amp;D54,"")&amp;IF(E54&lt;&gt;"",". Malee "&amp;E54,"")&amp;IF(F54&lt;&gt;"",". gold weight "&amp;F54,""))</x:f>
      </x:c>
      <x:c r="Q54" s="7" t="str">
        <x:f>IF(A54="","",TEXTJOIN(CHAR(10),TRUE,IF(D54&lt;&gt;"",D54,""),IF(E54&lt;&gt;"","Malee "&amp;E54,""),IF(F54&lt;&gt;"",F54,"")))</x:f>
      </x:c>
    </x:row>
    <x:row r="55" ht="48" customHeight="1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7" t="str">
        <x:f>IF(A55="","", "SKU "&amp;A55&amp;". from the "&amp;B55&amp;" collection. Type "&amp;C55&amp;IFERROR(" ("&amp;VLOOKUP(C55,$A$9:$B$14,2,FALSE)&amp;")","")&amp;IF(D55&lt;&gt;"",". center stone "&amp;D55,"")&amp;IF(E55&lt;&gt;"",". Malee "&amp;E55,"")&amp;IF(F55&lt;&gt;"",". gold weight "&amp;F55,""))</x:f>
      </x:c>
      <x:c r="Q55" s="7" t="str">
        <x:f>IF(A55="","",TEXTJOIN(CHAR(10),TRUE,IF(D55&lt;&gt;"",D55,""),IF(E55&lt;&gt;"","Malee "&amp;E55,""),IF(F55&lt;&gt;"",F55,"")))</x:f>
      </x:c>
    </x:row>
    <x:row r="56" ht="48" customHeight="1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7" t="str">
        <x:f>IF(A56="","", "SKU "&amp;A56&amp;". from the "&amp;B56&amp;" collection. Type "&amp;C56&amp;IFERROR(" ("&amp;VLOOKUP(C56,$A$9:$B$14,2,FALSE)&amp;")","")&amp;IF(D56&lt;&gt;"",". center stone "&amp;D56,"")&amp;IF(E56&lt;&gt;"",". Malee "&amp;E56,"")&amp;IF(F56&lt;&gt;"",". gold weight "&amp;F56,""))</x:f>
      </x:c>
      <x:c r="Q56" s="7" t="str">
        <x:f>IF(A56="","",TEXTJOIN(CHAR(10),TRUE,IF(D56&lt;&gt;"",D56,""),IF(E56&lt;&gt;"","Malee "&amp;E56,""),IF(F56&lt;&gt;"",F56,"")))</x:f>
      </x:c>
    </x:row>
    <x:row r="57" ht="48" customHeight="1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7" t="str">
        <x:f>IF(A57="","", "SKU "&amp;A57&amp;". from the "&amp;B57&amp;" collection. Type "&amp;C57&amp;IFERROR(" ("&amp;VLOOKUP(C57,$A$9:$B$14,2,FALSE)&amp;")","")&amp;IF(D57&lt;&gt;"",". center stone "&amp;D57,"")&amp;IF(E57&lt;&gt;"",". Malee "&amp;E57,"")&amp;IF(F57&lt;&gt;"",". gold weight "&amp;F57,""))</x:f>
      </x:c>
      <x:c r="Q57" s="7" t="str">
        <x:f>IF(A57="","",TEXTJOIN(CHAR(10),TRUE,IF(D57&lt;&gt;"",D57,""),IF(E57&lt;&gt;"","Malee "&amp;E57,""),IF(F57&lt;&gt;"",F57,"")))</x:f>
      </x:c>
    </x:row>
    <x:row r="58" ht="48" customHeight="1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7" t="str">
        <x:f>IF(A58="","", "SKU "&amp;A58&amp;". from the "&amp;B58&amp;" collection. Type "&amp;C58&amp;IFERROR(" ("&amp;VLOOKUP(C58,$A$9:$B$14,2,FALSE)&amp;")","")&amp;IF(D58&lt;&gt;"",". center stone "&amp;D58,"")&amp;IF(E58&lt;&gt;"",". Malee "&amp;E58,"")&amp;IF(F58&lt;&gt;"",". gold weight "&amp;F58,""))</x:f>
      </x:c>
      <x:c r="Q58" s="7" t="str">
        <x:f>IF(A58="","",TEXTJOIN(CHAR(10),TRUE,IF(D58&lt;&gt;"",D58,""),IF(E58&lt;&gt;"","Malee "&amp;E58,""),IF(F58&lt;&gt;"",F58,"")))</x:f>
      </x:c>
    </x:row>
    <x:row r="59" ht="48" customHeight="1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7" t="str">
        <x:f>IF(A59="","", "SKU "&amp;A59&amp;". from the "&amp;B59&amp;" collection. Type "&amp;C59&amp;IFERROR(" ("&amp;VLOOKUP(C59,$A$9:$B$14,2,FALSE)&amp;")","")&amp;IF(D59&lt;&gt;"",". center stone "&amp;D59,"")&amp;IF(E59&lt;&gt;"",". Malee "&amp;E59,"")&amp;IF(F59&lt;&gt;"",". gold weight "&amp;F59,""))</x:f>
      </x:c>
      <x:c r="Q59" s="7" t="str">
        <x:f>IF(A59="","",TEXTJOIN(CHAR(10),TRUE,IF(D59&lt;&gt;"",D59,""),IF(E59&lt;&gt;"","Malee "&amp;E59,""),IF(F59&lt;&gt;"",F59,"")))</x:f>
      </x:c>
    </x:row>
    <x:row r="60" ht="48" customHeight="1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7" t="str">
        <x:f>IF(A60="","", "SKU "&amp;A60&amp;". from the "&amp;B60&amp;" collection. Type "&amp;C60&amp;IFERROR(" ("&amp;VLOOKUP(C60,$A$9:$B$14,2,FALSE)&amp;")","")&amp;IF(D60&lt;&gt;"",". center stone "&amp;D60,"")&amp;IF(E60&lt;&gt;"",". Malee "&amp;E60,"")&amp;IF(F60&lt;&gt;"",". gold weight "&amp;F60,""))</x:f>
      </x:c>
      <x:c r="Q60" s="7" t="str">
        <x:f>IF(A60="","",TEXTJOIN(CHAR(10),TRUE,IF(D60&lt;&gt;"",D60,""),IF(E60&lt;&gt;"","Malee "&amp;E60,""),IF(F60&lt;&gt;"",F60,"")))</x:f>
      </x:c>
    </x:row>
    <x:row r="61" ht="48" customHeight="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7" t="str">
        <x:f>IF(A61="","", "SKU "&amp;A61&amp;". from the "&amp;B61&amp;" collection. Type "&amp;C61&amp;IFERROR(" ("&amp;VLOOKUP(C61,$A$9:$B$14,2,FALSE)&amp;")","")&amp;IF(D61&lt;&gt;"",". center stone "&amp;D61,"")&amp;IF(E61&lt;&gt;"",". Malee "&amp;E61,"")&amp;IF(F61&lt;&gt;"",". gold weight "&amp;F61,""))</x:f>
      </x:c>
      <x:c r="Q61" s="7" t="str">
        <x:f>IF(A61="","",TEXTJOIN(CHAR(10),TRUE,IF(D61&lt;&gt;"",D61,""),IF(E61&lt;&gt;"","Malee "&amp;E61,""),IF(F61&lt;&gt;"",F61,"")))</x:f>
      </x:c>
    </x:row>
    <x:row r="62" ht="48" customHeight="1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7" t="str">
        <x:f>IF(A62="","", "SKU "&amp;A62&amp;". from the "&amp;B62&amp;" collection. Type "&amp;C62&amp;IFERROR(" ("&amp;VLOOKUP(C62,$A$9:$B$14,2,FALSE)&amp;")","")&amp;IF(D62&lt;&gt;"",". center stone "&amp;D62,"")&amp;IF(E62&lt;&gt;"",". Malee "&amp;E62,"")&amp;IF(F62&lt;&gt;"",". gold weight "&amp;F62,""))</x:f>
      </x:c>
      <x:c r="Q62" s="7" t="str">
        <x:f>IF(A62="","",TEXTJOIN(CHAR(10),TRUE,IF(D62&lt;&gt;"",D62,""),IF(E62&lt;&gt;"","Malee "&amp;E62,""),IF(F62&lt;&gt;"",F62,"")))</x:f>
      </x:c>
    </x:row>
    <x:row r="63" ht="48" customHeight="1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7" t="str">
        <x:f>IF(A63="","", "SKU "&amp;A63&amp;". from the "&amp;B63&amp;" collection. Type "&amp;C63&amp;IFERROR(" ("&amp;VLOOKUP(C63,$A$9:$B$14,2,FALSE)&amp;")","")&amp;IF(D63&lt;&gt;"",". center stone "&amp;D63,"")&amp;IF(E63&lt;&gt;"",". Malee "&amp;E63,"")&amp;IF(F63&lt;&gt;"",". gold weight "&amp;F63,""))</x:f>
      </x:c>
      <x:c r="Q63" s="7" t="str">
        <x:f>IF(A63="","",TEXTJOIN(CHAR(10),TRUE,IF(D63&lt;&gt;"",D63,""),IF(E63&lt;&gt;"","Malee "&amp;E63,""),IF(F63&lt;&gt;"",F63,"")))</x:f>
      </x:c>
    </x:row>
    <x:row r="64" ht="48" customHeight="1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7" t="str">
        <x:f>IF(A64="","", "SKU "&amp;A64&amp;". from the "&amp;B64&amp;" collection. Type "&amp;C64&amp;IFERROR(" ("&amp;VLOOKUP(C64,$A$9:$B$14,2,FALSE)&amp;")","")&amp;IF(D64&lt;&gt;"",". center stone "&amp;D64,"")&amp;IF(E64&lt;&gt;"",". Malee "&amp;E64,"")&amp;IF(F64&lt;&gt;"",". gold weight "&amp;F64,""))</x:f>
      </x:c>
      <x:c r="Q64" s="7" t="str">
        <x:f>IF(A64="","",TEXTJOIN(CHAR(10),TRUE,IF(D64&lt;&gt;"",D64,""),IF(E64&lt;&gt;"","Malee "&amp;E64,""),IF(F64&lt;&gt;"",F64,"")))</x:f>
      </x:c>
    </x:row>
    <x:row r="65" ht="48" customHeight="1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7" t="str">
        <x:f>IF(A65="","", "SKU "&amp;A65&amp;". from the "&amp;B65&amp;" collection. Type "&amp;C65&amp;IFERROR(" ("&amp;VLOOKUP(C65,$A$9:$B$14,2,FALSE)&amp;")","")&amp;IF(D65&lt;&gt;"",". center stone "&amp;D65,"")&amp;IF(E65&lt;&gt;"",". Malee "&amp;E65,"")&amp;IF(F65&lt;&gt;"",". gold weight "&amp;F65,""))</x:f>
      </x:c>
      <x:c r="Q65" s="7" t="str">
        <x:f>IF(A65="","",TEXTJOIN(CHAR(10),TRUE,IF(D65&lt;&gt;"",D65,""),IF(E65&lt;&gt;"","Malee "&amp;E65,""),IF(F65&lt;&gt;"",F65,"")))</x:f>
      </x:c>
    </x:row>
    <x:row r="66" ht="48" customHeight="1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7" t="str">
        <x:f>IF(A66="","", "SKU "&amp;A66&amp;". from the "&amp;B66&amp;" collection. Type "&amp;C66&amp;IFERROR(" ("&amp;VLOOKUP(C66,$A$9:$B$14,2,FALSE)&amp;")","")&amp;IF(D66&lt;&gt;"",". center stone "&amp;D66,"")&amp;IF(E66&lt;&gt;"",". Malee "&amp;E66,"")&amp;IF(F66&lt;&gt;"",". gold weight "&amp;F66,""))</x:f>
      </x:c>
      <x:c r="Q66" s="7" t="str">
        <x:f>IF(A66="","",TEXTJOIN(CHAR(10),TRUE,IF(D66&lt;&gt;"",D66,""),IF(E66&lt;&gt;"","Malee "&amp;E66,""),IF(F66&lt;&gt;"",F66,"")))</x:f>
      </x:c>
    </x:row>
    <x:row r="67" ht="48" customHeight="1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7" t="str">
        <x:f>IF(A67="","", "SKU "&amp;A67&amp;". from the "&amp;B67&amp;" collection. Type "&amp;C67&amp;IFERROR(" ("&amp;VLOOKUP(C67,$A$9:$B$14,2,FALSE)&amp;")","")&amp;IF(D67&lt;&gt;"",". center stone "&amp;D67,"")&amp;IF(E67&lt;&gt;"",". Malee "&amp;E67,"")&amp;IF(F67&lt;&gt;"",". gold weight "&amp;F67,""))</x:f>
      </x:c>
      <x:c r="Q67" s="7" t="str">
        <x:f>IF(A67="","",TEXTJOIN(CHAR(10),TRUE,IF(D67&lt;&gt;"",D67,""),IF(E67&lt;&gt;"","Malee "&amp;E67,""),IF(F67&lt;&gt;"",F67,"")))</x:f>
      </x:c>
    </x:row>
    <x:row r="68" ht="48" customHeight="1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7" t="str">
        <x:f>IF(A68="","", "SKU "&amp;A68&amp;". from the "&amp;B68&amp;" collection. Type "&amp;C68&amp;IFERROR(" ("&amp;VLOOKUP(C68,$A$9:$B$14,2,FALSE)&amp;")","")&amp;IF(D68&lt;&gt;"",". center stone "&amp;D68,"")&amp;IF(E68&lt;&gt;"",". Malee "&amp;E68,"")&amp;IF(F68&lt;&gt;"",". gold weight "&amp;F68,""))</x:f>
      </x:c>
      <x:c r="Q68" s="7" t="str">
        <x:f>IF(A68="","",TEXTJOIN(CHAR(10),TRUE,IF(D68&lt;&gt;"",D68,""),IF(E68&lt;&gt;"","Malee "&amp;E68,""),IF(F68&lt;&gt;"",F68,"")))</x:f>
      </x:c>
    </x:row>
    <x:row r="69" ht="48" customHeight="1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7" t="str">
        <x:f>IF(A69="","", "SKU "&amp;A69&amp;". from the "&amp;B69&amp;" collection. Type "&amp;C69&amp;IFERROR(" ("&amp;VLOOKUP(C69,$A$9:$B$14,2,FALSE)&amp;")","")&amp;IF(D69&lt;&gt;"",". center stone "&amp;D69,"")&amp;IF(E69&lt;&gt;"",". Malee "&amp;E69,"")&amp;IF(F69&lt;&gt;"",". gold weight "&amp;F69,""))</x:f>
      </x:c>
      <x:c r="Q69" s="7" t="str">
        <x:f>IF(A69="","",TEXTJOIN(CHAR(10),TRUE,IF(D69&lt;&gt;"",D69,""),IF(E69&lt;&gt;"","Malee "&amp;E69,""),IF(F69&lt;&gt;"",F69,"")))</x:f>
      </x:c>
    </x:row>
    <x:row r="70" ht="48" customHeight="1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7" t="str">
        <x:f>IF(A70="","", "SKU "&amp;A70&amp;". from the "&amp;B70&amp;" collection. Type "&amp;C70&amp;IFERROR(" ("&amp;VLOOKUP(C70,$A$9:$B$14,2,FALSE)&amp;")","")&amp;IF(D70&lt;&gt;"",". center stone "&amp;D70,"")&amp;IF(E70&lt;&gt;"",". Malee "&amp;E70,"")&amp;IF(F70&lt;&gt;"",". gold weight "&amp;F70,""))</x:f>
      </x:c>
      <x:c r="Q70" s="7" t="str">
        <x:f>IF(A70="","",TEXTJOIN(CHAR(10),TRUE,IF(D70&lt;&gt;"",D70,""),IF(E70&lt;&gt;"","Malee "&amp;E70,""),IF(F70&lt;&gt;"",F70,"")))</x:f>
      </x:c>
    </x:row>
    <x:row r="71" ht="48" customHeight="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7" t="str">
        <x:f>IF(A71="","", "SKU "&amp;A71&amp;". from the "&amp;B71&amp;" collection. Type "&amp;C71&amp;IFERROR(" ("&amp;VLOOKUP(C71,$A$9:$B$14,2,FALSE)&amp;")","")&amp;IF(D71&lt;&gt;"",". center stone "&amp;D71,"")&amp;IF(E71&lt;&gt;"",". Malee "&amp;E71,"")&amp;IF(F71&lt;&gt;"",". gold weight "&amp;F71,""))</x:f>
      </x:c>
      <x:c r="Q71" s="7" t="str">
        <x:f>IF(A71="","",TEXTJOIN(CHAR(10),TRUE,IF(D71&lt;&gt;"",D71,""),IF(E71&lt;&gt;"","Malee "&amp;E71,""),IF(F71&lt;&gt;"",F71,"")))</x:f>
      </x:c>
    </x:row>
    <x:row r="72" ht="48" customHeight="1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7" t="str">
        <x:f>IF(A72="","", "SKU "&amp;A72&amp;". from the "&amp;B72&amp;" collection. Type "&amp;C72&amp;IFERROR(" ("&amp;VLOOKUP(C72,$A$9:$B$14,2,FALSE)&amp;")","")&amp;IF(D72&lt;&gt;"",". center stone "&amp;D72,"")&amp;IF(E72&lt;&gt;"",". Malee "&amp;E72,"")&amp;IF(F72&lt;&gt;"",". gold weight "&amp;F72,""))</x:f>
      </x:c>
      <x:c r="Q72" s="7" t="str">
        <x:f>IF(A72="","",TEXTJOIN(CHAR(10),TRUE,IF(D72&lt;&gt;"",D72,""),IF(E72&lt;&gt;"","Malee "&amp;E72,""),IF(F72&lt;&gt;"",F72,"")))</x:f>
      </x:c>
    </x:row>
    <x:row r="73" ht="48" customHeight="1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7" t="str">
        <x:f>IF(A73="","", "SKU "&amp;A73&amp;". from the "&amp;B73&amp;" collection. Type "&amp;C73&amp;IFERROR(" ("&amp;VLOOKUP(C73,$A$9:$B$14,2,FALSE)&amp;")","")&amp;IF(D73&lt;&gt;"",". center stone "&amp;D73,"")&amp;IF(E73&lt;&gt;"",". Malee "&amp;E73,"")&amp;IF(F73&lt;&gt;"",". gold weight "&amp;F73,""))</x:f>
      </x:c>
      <x:c r="Q73" s="7" t="str">
        <x:f>IF(A73="","",TEXTJOIN(CHAR(10),TRUE,IF(D73&lt;&gt;"",D73,""),IF(E73&lt;&gt;"","Malee "&amp;E73,""),IF(F73&lt;&gt;"",F73,"")))</x:f>
      </x:c>
    </x:row>
    <x:row r="74" ht="48" customHeight="1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7" t="str">
        <x:f>IF(A74="","", "SKU "&amp;A74&amp;". from the "&amp;B74&amp;" collection. Type "&amp;C74&amp;IFERROR(" ("&amp;VLOOKUP(C74,$A$9:$B$14,2,FALSE)&amp;")","")&amp;IF(D74&lt;&gt;"",". center stone "&amp;D74,"")&amp;IF(E74&lt;&gt;"",". Malee "&amp;E74,"")&amp;IF(F74&lt;&gt;"",". gold weight "&amp;F74,""))</x:f>
      </x:c>
      <x:c r="Q74" s="7" t="str">
        <x:f>IF(A74="","",TEXTJOIN(CHAR(10),TRUE,IF(D74&lt;&gt;"",D74,""),IF(E74&lt;&gt;"","Malee "&amp;E74,""),IF(F74&lt;&gt;"",F74,"")))</x:f>
      </x:c>
    </x:row>
    <x:row r="75" ht="48" customHeight="1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7" t="str">
        <x:f>IF(A75="","", "SKU "&amp;A75&amp;". from the "&amp;B75&amp;" collection. Type "&amp;C75&amp;IFERROR(" ("&amp;VLOOKUP(C75,$A$9:$B$14,2,FALSE)&amp;")","")&amp;IF(D75&lt;&gt;"",". center stone "&amp;D75,"")&amp;IF(E75&lt;&gt;"",". Malee "&amp;E75,"")&amp;IF(F75&lt;&gt;"",". gold weight "&amp;F75,""))</x:f>
      </x:c>
      <x:c r="Q75" s="7" t="str">
        <x:f>IF(A75="","",TEXTJOIN(CHAR(10),TRUE,IF(D75&lt;&gt;"",D75,""),IF(E75&lt;&gt;"","Malee "&amp;E75,""),IF(F75&lt;&gt;"",F75,"")))</x:f>
      </x:c>
    </x:row>
    <x:row r="76" ht="48" customHeight="1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7" t="str">
        <x:f>IF(A76="","", "SKU "&amp;A76&amp;". from the "&amp;B76&amp;" collection. Type "&amp;C76&amp;IFERROR(" ("&amp;VLOOKUP(C76,$A$9:$B$14,2,FALSE)&amp;")","")&amp;IF(D76&lt;&gt;"",". center stone "&amp;D76,"")&amp;IF(E76&lt;&gt;"",". Malee "&amp;E76,"")&amp;IF(F76&lt;&gt;"",". gold weight "&amp;F76,""))</x:f>
      </x:c>
      <x:c r="Q76" s="7" t="str">
        <x:f>IF(A76="","",TEXTJOIN(CHAR(10),TRUE,IF(D76&lt;&gt;"",D76,""),IF(E76&lt;&gt;"","Malee "&amp;E76,""),IF(F76&lt;&gt;"",F76,"")))</x:f>
      </x:c>
    </x:row>
    <x:row r="77" ht="48" customHeight="1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7" t="str">
        <x:f>IF(A77="","", "SKU "&amp;A77&amp;". from the "&amp;B77&amp;" collection. Type "&amp;C77&amp;IFERROR(" ("&amp;VLOOKUP(C77,$A$9:$B$14,2,FALSE)&amp;")","")&amp;IF(D77&lt;&gt;"",". center stone "&amp;D77,"")&amp;IF(E77&lt;&gt;"",". Malee "&amp;E77,"")&amp;IF(F77&lt;&gt;"",". gold weight "&amp;F77,""))</x:f>
      </x:c>
      <x:c r="Q77" s="7" t="str">
        <x:f>IF(A77="","",TEXTJOIN(CHAR(10),TRUE,IF(D77&lt;&gt;"",D77,""),IF(E77&lt;&gt;"","Malee "&amp;E77,""),IF(F77&lt;&gt;"",F77,"")))</x:f>
      </x:c>
    </x:row>
    <x:row r="78" ht="48" customHeight="1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7" t="str">
        <x:f>IF(A78="","", "SKU "&amp;A78&amp;". from the "&amp;B78&amp;" collection. Type "&amp;C78&amp;IFERROR(" ("&amp;VLOOKUP(C78,$A$9:$B$14,2,FALSE)&amp;")","")&amp;IF(D78&lt;&gt;"",". center stone "&amp;D78,"")&amp;IF(E78&lt;&gt;"",". Malee "&amp;E78,"")&amp;IF(F78&lt;&gt;"",". gold weight "&amp;F78,""))</x:f>
      </x:c>
      <x:c r="Q78" s="7" t="str">
        <x:f>IF(A78="","",TEXTJOIN(CHAR(10),TRUE,IF(D78&lt;&gt;"",D78,""),IF(E78&lt;&gt;"","Malee "&amp;E78,""),IF(F78&lt;&gt;"",F78,"")))</x:f>
      </x:c>
    </x:row>
    <x:row r="79" ht="48" customHeight="1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7" t="str">
        <x:f>IF(A79="","", "SKU "&amp;A79&amp;". from the "&amp;B79&amp;" collection. Type "&amp;C79&amp;IFERROR(" ("&amp;VLOOKUP(C79,$A$9:$B$14,2,FALSE)&amp;")","")&amp;IF(D79&lt;&gt;"",". center stone "&amp;D79,"")&amp;IF(E79&lt;&gt;"",". Malee "&amp;E79,"")&amp;IF(F79&lt;&gt;"",". gold weight "&amp;F79,""))</x:f>
      </x:c>
      <x:c r="Q79" s="7" t="str">
        <x:f>IF(A79="","",TEXTJOIN(CHAR(10),TRUE,IF(D79&lt;&gt;"",D79,""),IF(E79&lt;&gt;"","Malee "&amp;E79,""),IF(F79&lt;&gt;"",F79,"")))</x:f>
      </x:c>
    </x:row>
    <x:row r="80" ht="48" customHeight="1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7" t="str">
        <x:f>IF(A80="","", "SKU "&amp;A80&amp;". from the "&amp;B80&amp;" collection. Type "&amp;C80&amp;IFERROR(" ("&amp;VLOOKUP(C80,$A$9:$B$14,2,FALSE)&amp;")","")&amp;IF(D80&lt;&gt;"",". center stone "&amp;D80,"")&amp;IF(E80&lt;&gt;"",". Malee "&amp;E80,"")&amp;IF(F80&lt;&gt;"",". gold weight "&amp;F80,""))</x:f>
      </x:c>
      <x:c r="Q80" s="7" t="str">
        <x:f>IF(A80="","",TEXTJOIN(CHAR(10),TRUE,IF(D80&lt;&gt;"",D80,""),IF(E80&lt;&gt;"","Malee "&amp;E80,""),IF(F80&lt;&gt;"",F80,"")))</x:f>
      </x:c>
    </x:row>
    <x:row r="81" ht="48" customHeight="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7" t="str">
        <x:f>IF(A81="","", "SKU "&amp;A81&amp;". from the "&amp;B81&amp;" collection. Type "&amp;C81&amp;IFERROR(" ("&amp;VLOOKUP(C81,$A$9:$B$14,2,FALSE)&amp;")","")&amp;IF(D81&lt;&gt;"",". center stone "&amp;D81,"")&amp;IF(E81&lt;&gt;"",". Malee "&amp;E81,"")&amp;IF(F81&lt;&gt;"",". gold weight "&amp;F81,""))</x:f>
      </x:c>
      <x:c r="Q81" s="7" t="str">
        <x:f>IF(A81="","",TEXTJOIN(CHAR(10),TRUE,IF(D81&lt;&gt;"",D81,""),IF(E81&lt;&gt;"","Malee "&amp;E81,""),IF(F81&lt;&gt;"",F81,"")))</x:f>
      </x:c>
    </x:row>
    <x:row r="82" ht="48" customHeight="1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7" t="str">
        <x:f>IF(A82="","", "SKU "&amp;A82&amp;". from the "&amp;B82&amp;" collection. Type "&amp;C82&amp;IFERROR(" ("&amp;VLOOKUP(C82,$A$9:$B$14,2,FALSE)&amp;")","")&amp;IF(D82&lt;&gt;"",". center stone "&amp;D82,"")&amp;IF(E82&lt;&gt;"",". Malee "&amp;E82,"")&amp;IF(F82&lt;&gt;"",". gold weight "&amp;F82,""))</x:f>
      </x:c>
      <x:c r="Q82" s="7" t="str">
        <x:f>IF(A82="","",TEXTJOIN(CHAR(10),TRUE,IF(D82&lt;&gt;"",D82,""),IF(E82&lt;&gt;"","Malee "&amp;E82,""),IF(F82&lt;&gt;"",F82,"")))</x:f>
      </x:c>
    </x:row>
    <x:row r="83" ht="48" customHeight="1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7" t="str">
        <x:f>IF(A83="","", "SKU "&amp;A83&amp;". from the "&amp;B83&amp;" collection. Type "&amp;C83&amp;IFERROR(" ("&amp;VLOOKUP(C83,$A$9:$B$14,2,FALSE)&amp;")","")&amp;IF(D83&lt;&gt;"",". center stone "&amp;D83,"")&amp;IF(E83&lt;&gt;"",". Malee "&amp;E83,"")&amp;IF(F83&lt;&gt;"",". gold weight "&amp;F83,""))</x:f>
      </x:c>
      <x:c r="Q83" s="7" t="str">
        <x:f>IF(A83="","",TEXTJOIN(CHAR(10),TRUE,IF(D83&lt;&gt;"",D83,""),IF(E83&lt;&gt;"","Malee "&amp;E83,""),IF(F83&lt;&gt;"",F83,"")))</x:f>
      </x:c>
    </x:row>
    <x:row r="84" ht="48" customHeight="1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7" t="str">
        <x:f>IF(A84="","", "SKU "&amp;A84&amp;". from the "&amp;B84&amp;" collection. Type "&amp;C84&amp;IFERROR(" ("&amp;VLOOKUP(C84,$A$9:$B$14,2,FALSE)&amp;")","")&amp;IF(D84&lt;&gt;"",". center stone "&amp;D84,"")&amp;IF(E84&lt;&gt;"",". Malee "&amp;E84,"")&amp;IF(F84&lt;&gt;"",". gold weight "&amp;F84,""))</x:f>
      </x:c>
      <x:c r="Q84" s="7" t="str">
        <x:f>IF(A84="","",TEXTJOIN(CHAR(10),TRUE,IF(D84&lt;&gt;"",D84,""),IF(E84&lt;&gt;"","Malee "&amp;E84,""),IF(F84&lt;&gt;"",F84,"")))</x:f>
      </x:c>
    </x:row>
    <x:row r="85" ht="48" customHeight="1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7" t="str">
        <x:f>IF(A85="","", "SKU "&amp;A85&amp;". from the "&amp;B85&amp;" collection. Type "&amp;C85&amp;IFERROR(" ("&amp;VLOOKUP(C85,$A$9:$B$14,2,FALSE)&amp;")","")&amp;IF(D85&lt;&gt;"",". center stone "&amp;D85,"")&amp;IF(E85&lt;&gt;"",". Malee "&amp;E85,"")&amp;IF(F85&lt;&gt;"",". gold weight "&amp;F85,""))</x:f>
      </x:c>
      <x:c r="Q85" s="7" t="str">
        <x:f>IF(A85="","",TEXTJOIN(CHAR(10),TRUE,IF(D85&lt;&gt;"",D85,""),IF(E85&lt;&gt;"","Malee "&amp;E85,""),IF(F85&lt;&gt;"",F85,"")))</x:f>
      </x:c>
    </x:row>
    <x:row r="86" ht="48" customHeight="1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7" t="str">
        <x:f>IF(A86="","", "SKU "&amp;A86&amp;". from the "&amp;B86&amp;" collection. Type "&amp;C86&amp;IFERROR(" ("&amp;VLOOKUP(C86,$A$9:$B$14,2,FALSE)&amp;")","")&amp;IF(D86&lt;&gt;"",". center stone "&amp;D86,"")&amp;IF(E86&lt;&gt;"",". Malee "&amp;E86,"")&amp;IF(F86&lt;&gt;"",". gold weight "&amp;F86,""))</x:f>
      </x:c>
      <x:c r="Q86" s="7" t="str">
        <x:f>IF(A86="","",TEXTJOIN(CHAR(10),TRUE,IF(D86&lt;&gt;"",D86,""),IF(E86&lt;&gt;"","Malee "&amp;E86,""),IF(F86&lt;&gt;"",F86,"")))</x:f>
      </x:c>
    </x:row>
    <x:row r="87" ht="48" customHeight="1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7" t="str">
        <x:f>IF(A87="","", "SKU "&amp;A87&amp;". from the "&amp;B87&amp;" collection. Type "&amp;C87&amp;IFERROR(" ("&amp;VLOOKUP(C87,$A$9:$B$14,2,FALSE)&amp;")","")&amp;IF(D87&lt;&gt;"",". center stone "&amp;D87,"")&amp;IF(E87&lt;&gt;"",". Malee "&amp;E87,"")&amp;IF(F87&lt;&gt;"",". gold weight "&amp;F87,""))</x:f>
      </x:c>
      <x:c r="Q87" s="7" t="str">
        <x:f>IF(A87="","",TEXTJOIN(CHAR(10),TRUE,IF(D87&lt;&gt;"",D87,""),IF(E87&lt;&gt;"","Malee "&amp;E87,""),IF(F87&lt;&gt;"",F87,"")))</x:f>
      </x:c>
    </x:row>
    <x:row r="88" ht="48" customHeight="1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7" t="str">
        <x:f>IF(A88="","", "SKU "&amp;A88&amp;". from the "&amp;B88&amp;" collection. Type "&amp;C88&amp;IFERROR(" ("&amp;VLOOKUP(C88,$A$9:$B$14,2,FALSE)&amp;")","")&amp;IF(D88&lt;&gt;"",". center stone "&amp;D88,"")&amp;IF(E88&lt;&gt;"",". Malee "&amp;E88,"")&amp;IF(F88&lt;&gt;"",". gold weight "&amp;F88,""))</x:f>
      </x:c>
      <x:c r="Q88" s="7" t="str">
        <x:f>IF(A88="","",TEXTJOIN(CHAR(10),TRUE,IF(D88&lt;&gt;"",D88,""),IF(E88&lt;&gt;"","Malee "&amp;E88,""),IF(F88&lt;&gt;"",F88,"")))</x:f>
      </x:c>
    </x:row>
    <x:row r="89" ht="48" customHeight="1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7" t="str">
        <x:f>IF(A89="","", "SKU "&amp;A89&amp;". from the "&amp;B89&amp;" collection. Type "&amp;C89&amp;IFERROR(" ("&amp;VLOOKUP(C89,$A$9:$B$14,2,FALSE)&amp;")","")&amp;IF(D89&lt;&gt;"",". center stone "&amp;D89,"")&amp;IF(E89&lt;&gt;"",". Malee "&amp;E89,"")&amp;IF(F89&lt;&gt;"",". gold weight "&amp;F89,""))</x:f>
      </x:c>
      <x:c r="Q89" s="7" t="str">
        <x:f>IF(A89="","",TEXTJOIN(CHAR(10),TRUE,IF(D89&lt;&gt;"",D89,""),IF(E89&lt;&gt;"","Malee "&amp;E89,""),IF(F89&lt;&gt;"",F89,"")))</x:f>
      </x:c>
    </x:row>
    <x:row r="90" ht="48" customHeight="1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7" t="str">
        <x:f>IF(A90="","", "SKU "&amp;A90&amp;". from the "&amp;B90&amp;" collection. Type "&amp;C90&amp;IFERROR(" ("&amp;VLOOKUP(C90,$A$9:$B$14,2,FALSE)&amp;")","")&amp;IF(D90&lt;&gt;"",". center stone "&amp;D90,"")&amp;IF(E90&lt;&gt;"",". Malee "&amp;E90,"")&amp;IF(F90&lt;&gt;"",". gold weight "&amp;F90,""))</x:f>
      </x:c>
      <x:c r="Q90" s="7" t="str">
        <x:f>IF(A90="","",TEXTJOIN(CHAR(10),TRUE,IF(D90&lt;&gt;"",D90,""),IF(E90&lt;&gt;"","Malee "&amp;E90,""),IF(F90&lt;&gt;"",F90,"")))</x:f>
      </x:c>
    </x:row>
    <x:row r="91" ht="48" customHeight="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7" t="str">
        <x:f>IF(A91="","", "SKU "&amp;A91&amp;". from the "&amp;B91&amp;" collection. Type "&amp;C91&amp;IFERROR(" ("&amp;VLOOKUP(C91,$A$9:$B$14,2,FALSE)&amp;")","")&amp;IF(D91&lt;&gt;"",". center stone "&amp;D91,"")&amp;IF(E91&lt;&gt;"",". Malee "&amp;E91,"")&amp;IF(F91&lt;&gt;"",". gold weight "&amp;F91,""))</x:f>
      </x:c>
      <x:c r="Q91" s="7" t="str">
        <x:f>IF(A91="","",TEXTJOIN(CHAR(10),TRUE,IF(D91&lt;&gt;"",D91,""),IF(E91&lt;&gt;"","Malee "&amp;E91,""),IF(F91&lt;&gt;"",F91,"")))</x:f>
      </x:c>
    </x:row>
    <x:row r="92" ht="48" customHeight="1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7" t="str">
        <x:f>IF(A92="","", "SKU "&amp;A92&amp;". from the "&amp;B92&amp;" collection. Type "&amp;C92&amp;IFERROR(" ("&amp;VLOOKUP(C92,$A$9:$B$14,2,FALSE)&amp;")","")&amp;IF(D92&lt;&gt;"",". center stone "&amp;D92,"")&amp;IF(E92&lt;&gt;"",". Malee "&amp;E92,"")&amp;IF(F92&lt;&gt;"",". gold weight "&amp;F92,""))</x:f>
      </x:c>
      <x:c r="Q92" s="7" t="str">
        <x:f>IF(A92="","",TEXTJOIN(CHAR(10),TRUE,IF(D92&lt;&gt;"",D92,""),IF(E92&lt;&gt;"","Malee "&amp;E92,""),IF(F92&lt;&gt;"",F92,"")))</x:f>
      </x:c>
    </x:row>
    <x:row r="93" ht="48" customHeight="1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7" t="str">
        <x:f>IF(A93="","", "SKU "&amp;A93&amp;". from the "&amp;B93&amp;" collection. Type "&amp;C93&amp;IFERROR(" ("&amp;VLOOKUP(C93,$A$9:$B$14,2,FALSE)&amp;")","")&amp;IF(D93&lt;&gt;"",". center stone "&amp;D93,"")&amp;IF(E93&lt;&gt;"",". Malee "&amp;E93,"")&amp;IF(F93&lt;&gt;"",". gold weight "&amp;F93,""))</x:f>
      </x:c>
      <x:c r="Q93" s="7" t="str">
        <x:f>IF(A93="","",TEXTJOIN(CHAR(10),TRUE,IF(D93&lt;&gt;"",D93,""),IF(E93&lt;&gt;"","Malee "&amp;E93,""),IF(F93&lt;&gt;"",F93,"")))</x:f>
      </x:c>
    </x:row>
    <x:row r="94" ht="48" customHeight="1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7" t="str">
        <x:f>IF(A94="","", "SKU "&amp;A94&amp;". from the "&amp;B94&amp;" collection. Type "&amp;C94&amp;IFERROR(" ("&amp;VLOOKUP(C94,$A$9:$B$14,2,FALSE)&amp;")","")&amp;IF(D94&lt;&gt;"",". center stone "&amp;D94,"")&amp;IF(E94&lt;&gt;"",". Malee "&amp;E94,"")&amp;IF(F94&lt;&gt;"",". gold weight "&amp;F94,""))</x:f>
      </x:c>
      <x:c r="Q94" s="7" t="str">
        <x:f>IF(A94="","",TEXTJOIN(CHAR(10),TRUE,IF(D94&lt;&gt;"",D94,""),IF(E94&lt;&gt;"","Malee "&amp;E94,""),IF(F94&lt;&gt;"",F94,"")))</x:f>
      </x:c>
    </x:row>
    <x:row r="95" ht="48" customHeight="1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7" t="str">
        <x:f>IF(A95="","", "SKU "&amp;A95&amp;". from the "&amp;B95&amp;" collection. Type "&amp;C95&amp;IFERROR(" ("&amp;VLOOKUP(C95,$A$9:$B$14,2,FALSE)&amp;")","")&amp;IF(D95&lt;&gt;"",". center stone "&amp;D95,"")&amp;IF(E95&lt;&gt;"",". Malee "&amp;E95,"")&amp;IF(F95&lt;&gt;"",". gold weight "&amp;F95,""))</x:f>
      </x:c>
      <x:c r="Q95" s="7" t="str">
        <x:f>IF(A95="","",TEXTJOIN(CHAR(10),TRUE,IF(D95&lt;&gt;"",D95,""),IF(E95&lt;&gt;"","Malee "&amp;E95,""),IF(F95&lt;&gt;"",F95,"")))</x:f>
      </x:c>
    </x:row>
    <x:row r="96" ht="48" customHeight="1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7" t="str">
        <x:f>IF(A96="","", "SKU "&amp;A96&amp;". from the "&amp;B96&amp;" collection. Type "&amp;C96&amp;IFERROR(" ("&amp;VLOOKUP(C96,$A$9:$B$14,2,FALSE)&amp;")","")&amp;IF(D96&lt;&gt;"",". center stone "&amp;D96,"")&amp;IF(E96&lt;&gt;"",". Malee "&amp;E96,"")&amp;IF(F96&lt;&gt;"",". gold weight "&amp;F96,""))</x:f>
      </x:c>
      <x:c r="Q96" s="7" t="str">
        <x:f>IF(A96="","",TEXTJOIN(CHAR(10),TRUE,IF(D96&lt;&gt;"",D96,""),IF(E96&lt;&gt;"","Malee "&amp;E96,""),IF(F96&lt;&gt;"",F96,"")))</x:f>
      </x:c>
    </x:row>
    <x:row r="97" ht="48" customHeight="1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7" t="str">
        <x:f>IF(A97="","", "SKU "&amp;A97&amp;". from the "&amp;B97&amp;" collection. Type "&amp;C97&amp;IFERROR(" ("&amp;VLOOKUP(C97,$A$9:$B$14,2,FALSE)&amp;")","")&amp;IF(D97&lt;&gt;"",". center stone "&amp;D97,"")&amp;IF(E97&lt;&gt;"",". Malee "&amp;E97,"")&amp;IF(F97&lt;&gt;"",". gold weight "&amp;F97,""))</x:f>
      </x:c>
      <x:c r="Q97" s="7" t="str">
        <x:f>IF(A97="","",TEXTJOIN(CHAR(10),TRUE,IF(D97&lt;&gt;"",D97,""),IF(E97&lt;&gt;"","Malee "&amp;E97,""),IF(F97&lt;&gt;"",F97,"")))</x:f>
      </x:c>
    </x:row>
    <x:row r="98" ht="48" customHeight="1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7" t="str">
        <x:f>IF(A98="","", "SKU "&amp;A98&amp;". from the "&amp;B98&amp;" collection. Type "&amp;C98&amp;IFERROR(" ("&amp;VLOOKUP(C98,$A$9:$B$14,2,FALSE)&amp;")","")&amp;IF(D98&lt;&gt;"",". center stone "&amp;D98,"")&amp;IF(E98&lt;&gt;"",". Malee "&amp;E98,"")&amp;IF(F98&lt;&gt;"",". gold weight "&amp;F98,""))</x:f>
      </x:c>
      <x:c r="Q98" s="7" t="str">
        <x:f>IF(A98="","",TEXTJOIN(CHAR(10),TRUE,IF(D98&lt;&gt;"",D98,""),IF(E98&lt;&gt;"","Malee "&amp;E98,""),IF(F98&lt;&gt;"",F98,"")))</x:f>
      </x:c>
    </x:row>
    <x:row r="99" ht="48" customHeight="1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7" t="str">
        <x:f>IF(A99="","", "SKU "&amp;A99&amp;". from the "&amp;B99&amp;" collection. Type "&amp;C99&amp;IFERROR(" ("&amp;VLOOKUP(C99,$A$9:$B$14,2,FALSE)&amp;")","")&amp;IF(D99&lt;&gt;"",". center stone "&amp;D99,"")&amp;IF(E99&lt;&gt;"",". Malee "&amp;E99,"")&amp;IF(F99&lt;&gt;"",". gold weight "&amp;F99,""))</x:f>
      </x:c>
      <x:c r="Q99" s="7" t="str">
        <x:f>IF(A99="","",TEXTJOIN(CHAR(10),TRUE,IF(D99&lt;&gt;"",D99,""),IF(E99&lt;&gt;"","Malee "&amp;E99,""),IF(F99&lt;&gt;"",F99,"")))</x:f>
      </x:c>
    </x:row>
    <x:row r="100" ht="48" customHeight="1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7" t="str">
        <x:f>IF(A100="","", "SKU "&amp;A100&amp;". from the "&amp;B100&amp;" collection. Type "&amp;C100&amp;IFERROR(" ("&amp;VLOOKUP(C100,$A$9:$B$14,2,FALSE)&amp;")","")&amp;IF(D100&lt;&gt;"",". center stone "&amp;D100,"")&amp;IF(E100&lt;&gt;"",". Malee "&amp;E100,"")&amp;IF(F100&lt;&gt;"",". gold weight "&amp;F100,""))</x:f>
      </x:c>
      <x:c r="Q100" s="7" t="str">
        <x:f>IF(A100="","",TEXTJOIN(CHAR(10),TRUE,IF(D100&lt;&gt;"",D100,""),IF(E100&lt;&gt;"","Malee "&amp;E100,""),IF(F100&lt;&gt;"",F100,"")))</x:f>
      </x:c>
    </x:row>
    <x:row r="101" ht="48" customHeight="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  <x:c r="K101" s="6"/>
      <x:c r="L101" s="6"/>
      <x:c r="M101" s="6"/>
      <x:c r="N101" s="6"/>
      <x:c r="O101" s="6"/>
      <x:c r="P101" s="7" t="str">
        <x:f>IF(A101="","", "SKU "&amp;A101&amp;". from the "&amp;B101&amp;" collection. Type "&amp;C101&amp;IFERROR(" ("&amp;VLOOKUP(C101,$A$9:$B$14,2,FALSE)&amp;")","")&amp;IF(D101&lt;&gt;"",". center stone "&amp;D101,"")&amp;IF(E101&lt;&gt;"",". Malee "&amp;E101,"")&amp;IF(F101&lt;&gt;"",". gold weight "&amp;F101,""))</x:f>
      </x:c>
      <x:c r="Q101" s="7" t="str">
        <x:f>IF(A101="","",TEXTJOIN(CHAR(10),TRUE,IF(D101&lt;&gt;"",D101,""),IF(E101&lt;&gt;"","Malee "&amp;E101,""),IF(F101&lt;&gt;"",F101,"")))</x:f>
      </x:c>
    </x:row>
    <x:row r="102" ht="48" customHeight="1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  <x:c r="K102" s="6"/>
      <x:c r="L102" s="6"/>
      <x:c r="M102" s="6"/>
      <x:c r="N102" s="6"/>
      <x:c r="O102" s="6"/>
      <x:c r="P102" s="7" t="str">
        <x:f>IF(A102="","", "SKU "&amp;A102&amp;". from the "&amp;B102&amp;" collection. Type "&amp;C102&amp;IFERROR(" ("&amp;VLOOKUP(C102,$A$9:$B$14,2,FALSE)&amp;")","")&amp;IF(D102&lt;&gt;"",". center stone "&amp;D102,"")&amp;IF(E102&lt;&gt;"",". Malee "&amp;E102,"")&amp;IF(F102&lt;&gt;"",". gold weight "&amp;F102,""))</x:f>
      </x:c>
      <x:c r="Q102" s="7" t="str">
        <x:f>IF(A102="","",TEXTJOIN(CHAR(10),TRUE,IF(D102&lt;&gt;"",D102,""),IF(E102&lt;&gt;"","Malee "&amp;E102,""),IF(F102&lt;&gt;"",F102,"")))</x:f>
      </x:c>
    </x:row>
    <x:row r="103" ht="48" customHeight="1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  <x:c r="K103" s="6"/>
      <x:c r="L103" s="6"/>
      <x:c r="M103" s="6"/>
      <x:c r="N103" s="6"/>
      <x:c r="O103" s="6"/>
      <x:c r="P103" s="7" t="str">
        <x:f>IF(A103="","", "SKU "&amp;A103&amp;". from the "&amp;B103&amp;" collection. Type "&amp;C103&amp;IFERROR(" ("&amp;VLOOKUP(C103,$A$9:$B$14,2,FALSE)&amp;")","")&amp;IF(D103&lt;&gt;"",". center stone "&amp;D103,"")&amp;IF(E103&lt;&gt;"",". Malee "&amp;E103,"")&amp;IF(F103&lt;&gt;"",". gold weight "&amp;F103,""))</x:f>
      </x:c>
      <x:c r="Q103" s="7" t="str">
        <x:f>IF(A103="","",TEXTJOIN(CHAR(10),TRUE,IF(D103&lt;&gt;"",D103,""),IF(E103&lt;&gt;"","Malee "&amp;E103,""),IF(F103&lt;&gt;"",F103,"")))</x:f>
      </x:c>
    </x:row>
    <x:row r="104" ht="48" customHeight="1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  <x:c r="K104" s="6"/>
      <x:c r="L104" s="6"/>
      <x:c r="M104" s="6"/>
      <x:c r="N104" s="6"/>
      <x:c r="O104" s="6"/>
      <x:c r="P104" s="7" t="str">
        <x:f>IF(A104="","", "SKU "&amp;A104&amp;". from the "&amp;B104&amp;" collection. Type "&amp;C104&amp;IFERROR(" ("&amp;VLOOKUP(C104,$A$9:$B$14,2,FALSE)&amp;")","")&amp;IF(D104&lt;&gt;"",". center stone "&amp;D104,"")&amp;IF(E104&lt;&gt;"",". Malee "&amp;E104,"")&amp;IF(F104&lt;&gt;"",". gold weight "&amp;F104,""))</x:f>
      </x:c>
      <x:c r="Q104" s="7" t="str">
        <x:f>IF(A104="","",TEXTJOIN(CHAR(10),TRUE,IF(D104&lt;&gt;"",D104,""),IF(E104&lt;&gt;"","Malee "&amp;E104,""),IF(F104&lt;&gt;"",F104,"")))</x:f>
      </x:c>
    </x:row>
    <x:row r="105" ht="48" customHeight="1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  <x:c r="K105" s="6"/>
      <x:c r="L105" s="6"/>
      <x:c r="M105" s="6"/>
      <x:c r="N105" s="6"/>
      <x:c r="O105" s="6"/>
      <x:c r="P105" s="7" t="str">
        <x:f>IF(A105="","", "SKU "&amp;A105&amp;". from the "&amp;B105&amp;" collection. Type "&amp;C105&amp;IFERROR(" ("&amp;VLOOKUP(C105,$A$9:$B$14,2,FALSE)&amp;")","")&amp;IF(D105&lt;&gt;"",". center stone "&amp;D105,"")&amp;IF(E105&lt;&gt;"",". Malee "&amp;E105,"")&amp;IF(F105&lt;&gt;"",". gold weight "&amp;F105,""))</x:f>
      </x:c>
      <x:c r="Q105" s="7" t="str">
        <x:f>IF(A105="","",TEXTJOIN(CHAR(10),TRUE,IF(D105&lt;&gt;"",D105,""),IF(E105&lt;&gt;"","Malee "&amp;E105,""),IF(F105&lt;&gt;"",F105,"")))</x:f>
      </x:c>
    </x:row>
    <x:row r="106" ht="48" customHeight="1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  <x:c r="K106" s="6"/>
      <x:c r="L106" s="6"/>
      <x:c r="M106" s="6"/>
      <x:c r="N106" s="6"/>
      <x:c r="O106" s="6"/>
      <x:c r="P106" s="7" t="str">
        <x:f>IF(A106="","", "SKU "&amp;A106&amp;". from the "&amp;B106&amp;" collection. Type "&amp;C106&amp;IFERROR(" ("&amp;VLOOKUP(C106,$A$9:$B$14,2,FALSE)&amp;")","")&amp;IF(D106&lt;&gt;"",". center stone "&amp;D106,"")&amp;IF(E106&lt;&gt;"",". Malee "&amp;E106,"")&amp;IF(F106&lt;&gt;"",". gold weight "&amp;F106,""))</x:f>
      </x:c>
      <x:c r="Q106" s="7" t="str">
        <x:f>IF(A106="","",TEXTJOIN(CHAR(10),TRUE,IF(D106&lt;&gt;"",D106,""),IF(E106&lt;&gt;"","Malee "&amp;E106,""),IF(F106&lt;&gt;"",F106,"")))</x:f>
      </x:c>
    </x:row>
    <x:row r="107" ht="48" customHeight="1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  <x:c r="K107" s="6"/>
      <x:c r="L107" s="6"/>
      <x:c r="M107" s="6"/>
      <x:c r="N107" s="6"/>
      <x:c r="O107" s="6"/>
      <x:c r="P107" s="7" t="str">
        <x:f>IF(A107="","", "SKU "&amp;A107&amp;". from the "&amp;B107&amp;" collection. Type "&amp;C107&amp;IFERROR(" ("&amp;VLOOKUP(C107,$A$9:$B$14,2,FALSE)&amp;")","")&amp;IF(D107&lt;&gt;"",". center stone "&amp;D107,"")&amp;IF(E107&lt;&gt;"",". Malee "&amp;E107,"")&amp;IF(F107&lt;&gt;"",". gold weight "&amp;F107,""))</x:f>
      </x:c>
      <x:c r="Q107" s="7" t="str">
        <x:f>IF(A107="","",TEXTJOIN(CHAR(10),TRUE,IF(D107&lt;&gt;"",D107,""),IF(E107&lt;&gt;"","Malee "&amp;E107,""),IF(F107&lt;&gt;"",F107,"")))</x:f>
      </x:c>
    </x:row>
    <x:row r="108" ht="48" customHeight="1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  <x:c r="K108" s="6"/>
      <x:c r="L108" s="6"/>
      <x:c r="M108" s="6"/>
      <x:c r="N108" s="6"/>
      <x:c r="O108" s="6"/>
      <x:c r="P108" s="7" t="str">
        <x:f>IF(A108="","", "SKU "&amp;A108&amp;". from the "&amp;B108&amp;" collection. Type "&amp;C108&amp;IFERROR(" ("&amp;VLOOKUP(C108,$A$9:$B$14,2,FALSE)&amp;")","")&amp;IF(D108&lt;&gt;"",". center stone "&amp;D108,"")&amp;IF(E108&lt;&gt;"",". Malee "&amp;E108,"")&amp;IF(F108&lt;&gt;"",". gold weight "&amp;F108,""))</x:f>
      </x:c>
      <x:c r="Q108" s="7" t="str">
        <x:f>IF(A108="","",TEXTJOIN(CHAR(10),TRUE,IF(D108&lt;&gt;"",D108,""),IF(E108&lt;&gt;"","Malee "&amp;E108,""),IF(F108&lt;&gt;"",F108,"")))</x:f>
      </x:c>
    </x:row>
    <x:row r="109" ht="48" customHeight="1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  <x:c r="K109" s="6"/>
      <x:c r="L109" s="6"/>
      <x:c r="M109" s="6"/>
      <x:c r="N109" s="6"/>
      <x:c r="O109" s="6"/>
      <x:c r="P109" s="7" t="str">
        <x:f>IF(A109="","", "SKU "&amp;A109&amp;". from the "&amp;B109&amp;" collection. Type "&amp;C109&amp;IFERROR(" ("&amp;VLOOKUP(C109,$A$9:$B$14,2,FALSE)&amp;")","")&amp;IF(D109&lt;&gt;"",". center stone "&amp;D109,"")&amp;IF(E109&lt;&gt;"",". Malee "&amp;E109,"")&amp;IF(F109&lt;&gt;"",". gold weight "&amp;F109,""))</x:f>
      </x:c>
      <x:c r="Q109" s="7" t="str">
        <x:f>IF(A109="","",TEXTJOIN(CHAR(10),TRUE,IF(D109&lt;&gt;"",D109,""),IF(E109&lt;&gt;"","Malee "&amp;E109,""),IF(F109&lt;&gt;"",F109,"")))</x:f>
      </x:c>
    </x:row>
    <x:row r="110" ht="48" customHeight="1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  <x:c r="K110" s="6"/>
      <x:c r="L110" s="6"/>
      <x:c r="M110" s="6"/>
      <x:c r="N110" s="6"/>
      <x:c r="O110" s="6"/>
      <x:c r="P110" s="7" t="str">
        <x:f>IF(A110="","", "SKU "&amp;A110&amp;". from the "&amp;B110&amp;" collection. Type "&amp;C110&amp;IFERROR(" ("&amp;VLOOKUP(C110,$A$9:$B$14,2,FALSE)&amp;")","")&amp;IF(D110&lt;&gt;"",". center stone "&amp;D110,"")&amp;IF(E110&lt;&gt;"",". Malee "&amp;E110,"")&amp;IF(F110&lt;&gt;"",". gold weight "&amp;F110,""))</x:f>
      </x:c>
      <x:c r="Q110" s="7" t="str">
        <x:f>IF(A110="","",TEXTJOIN(CHAR(10),TRUE,IF(D110&lt;&gt;"",D110,""),IF(E110&lt;&gt;"","Malee "&amp;E110,""),IF(F110&lt;&gt;"",F110,"")))</x:f>
      </x:c>
    </x:row>
    <x:row r="111" ht="48" customHeight="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  <x:c r="K111" s="6"/>
      <x:c r="L111" s="6"/>
      <x:c r="M111" s="6"/>
      <x:c r="N111" s="6"/>
      <x:c r="O111" s="6"/>
      <x:c r="P111" s="7" t="str">
        <x:f>IF(A111="","", "SKU "&amp;A111&amp;". from the "&amp;B111&amp;" collection. Type "&amp;C111&amp;IFERROR(" ("&amp;VLOOKUP(C111,$A$9:$B$14,2,FALSE)&amp;")","")&amp;IF(D111&lt;&gt;"",". center stone "&amp;D111,"")&amp;IF(E111&lt;&gt;"",". Malee "&amp;E111,"")&amp;IF(F111&lt;&gt;"",". gold weight "&amp;F111,""))</x:f>
      </x:c>
      <x:c r="Q111" s="7" t="str">
        <x:f>IF(A111="","",TEXTJOIN(CHAR(10),TRUE,IF(D111&lt;&gt;"",D111,""),IF(E111&lt;&gt;"","Malee "&amp;E111,""),IF(F111&lt;&gt;"",F111,"")))</x:f>
      </x:c>
    </x:row>
    <x:row r="112" ht="48" customHeight="1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  <x:c r="K112" s="6"/>
      <x:c r="L112" s="6"/>
      <x:c r="M112" s="6"/>
      <x:c r="N112" s="6"/>
      <x:c r="O112" s="6"/>
      <x:c r="P112" s="7" t="str">
        <x:f>IF(A112="","", "SKU "&amp;A112&amp;". from the "&amp;B112&amp;" collection. Type "&amp;C112&amp;IFERROR(" ("&amp;VLOOKUP(C112,$A$9:$B$14,2,FALSE)&amp;")","")&amp;IF(D112&lt;&gt;"",". center stone "&amp;D112,"")&amp;IF(E112&lt;&gt;"",". Malee "&amp;E112,"")&amp;IF(F112&lt;&gt;"",". gold weight "&amp;F112,""))</x:f>
      </x:c>
      <x:c r="Q112" s="7" t="str">
        <x:f>IF(A112="","",TEXTJOIN(CHAR(10),TRUE,IF(D112&lt;&gt;"",D112,""),IF(E112&lt;&gt;"","Malee "&amp;E112,""),IF(F112&lt;&gt;"",F112,"")))</x:f>
      </x:c>
    </x:row>
    <x:row r="113" ht="48" customHeight="1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  <x:c r="K113" s="6"/>
      <x:c r="L113" s="6"/>
      <x:c r="M113" s="6"/>
      <x:c r="N113" s="6"/>
      <x:c r="O113" s="6"/>
      <x:c r="P113" s="7" t="str">
        <x:f>IF(A113="","", "SKU "&amp;A113&amp;". from the "&amp;B113&amp;" collection. Type "&amp;C113&amp;IFERROR(" ("&amp;VLOOKUP(C113,$A$9:$B$14,2,FALSE)&amp;")","")&amp;IF(D113&lt;&gt;"",". center stone "&amp;D113,"")&amp;IF(E113&lt;&gt;"",". Malee "&amp;E113,"")&amp;IF(F113&lt;&gt;"",". gold weight "&amp;F113,""))</x:f>
      </x:c>
      <x:c r="Q113" s="7" t="str">
        <x:f>IF(A113="","",TEXTJOIN(CHAR(10),TRUE,IF(D113&lt;&gt;"",D113,""),IF(E113&lt;&gt;"","Malee "&amp;E113,""),IF(F113&lt;&gt;"",F113,"")))</x:f>
      </x:c>
    </x:row>
    <x:row r="114" ht="48" customHeight="1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  <x:c r="K114" s="6"/>
      <x:c r="L114" s="6"/>
      <x:c r="M114" s="6"/>
      <x:c r="N114" s="6"/>
      <x:c r="O114" s="6"/>
      <x:c r="P114" s="7" t="str">
        <x:f>IF(A114="","", "SKU "&amp;A114&amp;". from the "&amp;B114&amp;" collection. Type "&amp;C114&amp;IFERROR(" ("&amp;VLOOKUP(C114,$A$9:$B$14,2,FALSE)&amp;")","")&amp;IF(D114&lt;&gt;"",". center stone "&amp;D114,"")&amp;IF(E114&lt;&gt;"",". Malee "&amp;E114,"")&amp;IF(F114&lt;&gt;"",". gold weight "&amp;F114,""))</x:f>
      </x:c>
      <x:c r="Q114" s="7" t="str">
        <x:f>IF(A114="","",TEXTJOIN(CHAR(10),TRUE,IF(D114&lt;&gt;"",D114,""),IF(E114&lt;&gt;"","Malee "&amp;E114,""),IF(F114&lt;&gt;"",F114,"")))</x:f>
      </x:c>
    </x:row>
    <x:row r="115" ht="48" customHeight="1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  <x:c r="K115" s="6"/>
      <x:c r="L115" s="6"/>
      <x:c r="M115" s="6"/>
      <x:c r="N115" s="6"/>
      <x:c r="O115" s="6"/>
      <x:c r="P115" s="7" t="str">
        <x:f>IF(A115="","", "SKU "&amp;A115&amp;". from the "&amp;B115&amp;" collection. Type "&amp;C115&amp;IFERROR(" ("&amp;VLOOKUP(C115,$A$9:$B$14,2,FALSE)&amp;")","")&amp;IF(D115&lt;&gt;"",". center stone "&amp;D115,"")&amp;IF(E115&lt;&gt;"",". Malee "&amp;E115,"")&amp;IF(F115&lt;&gt;"",". gold weight "&amp;F115,""))</x:f>
      </x:c>
      <x:c r="Q115" s="7" t="str">
        <x:f>IF(A115="","",TEXTJOIN(CHAR(10),TRUE,IF(D115&lt;&gt;"",D115,""),IF(E115&lt;&gt;"","Malee "&amp;E115,""),IF(F115&lt;&gt;"",F115,"")))</x:f>
      </x:c>
    </x:row>
    <x:row r="116" ht="48" customHeight="1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  <x:c r="K116" s="6"/>
      <x:c r="L116" s="6"/>
      <x:c r="M116" s="6"/>
      <x:c r="N116" s="6"/>
      <x:c r="O116" s="6"/>
      <x:c r="P116" s="7" t="str">
        <x:f>IF(A116="","", "SKU "&amp;A116&amp;". from the "&amp;B116&amp;" collection. Type "&amp;C116&amp;IFERROR(" ("&amp;VLOOKUP(C116,$A$9:$B$14,2,FALSE)&amp;")","")&amp;IF(D116&lt;&gt;"",". center stone "&amp;D116,"")&amp;IF(E116&lt;&gt;"",". Malee "&amp;E116,"")&amp;IF(F116&lt;&gt;"",". gold weight "&amp;F116,""))</x:f>
      </x:c>
      <x:c r="Q116" s="7" t="str">
        <x:f>IF(A116="","",TEXTJOIN(CHAR(10),TRUE,IF(D116&lt;&gt;"",D116,""),IF(E116&lt;&gt;"","Malee "&amp;E116,""),IF(F116&lt;&gt;"",F116,"")))</x:f>
      </x:c>
    </x:row>
    <x:row r="117" ht="48" customHeight="1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7" t="str">
        <x:f>IF(A117="","", "SKU "&amp;A117&amp;". from the "&amp;B117&amp;" collection. Type "&amp;C117&amp;IFERROR(" ("&amp;VLOOKUP(C117,$A$9:$B$14,2,FALSE)&amp;")","")&amp;IF(D117&lt;&gt;"",". center stone "&amp;D117,"")&amp;IF(E117&lt;&gt;"",". Malee "&amp;E117,"")&amp;IF(F117&lt;&gt;"",". gold weight "&amp;F117,""))</x:f>
      </x:c>
      <x:c r="Q117" s="7" t="str">
        <x:f>IF(A117="","",TEXTJOIN(CHAR(10),TRUE,IF(D117&lt;&gt;"",D117,""),IF(E117&lt;&gt;"","Malee "&amp;E117,""),IF(F117&lt;&gt;"",F117,"")))</x:f>
      </x:c>
    </x:row>
    <x:row r="118" ht="48" customHeight="1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  <x:c r="K118" s="6"/>
      <x:c r="L118" s="6"/>
      <x:c r="M118" s="6"/>
      <x:c r="N118" s="6"/>
      <x:c r="O118" s="6"/>
      <x:c r="P118" s="7" t="str">
        <x:f>IF(A118="","", "SKU "&amp;A118&amp;". from the "&amp;B118&amp;" collection. Type "&amp;C118&amp;IFERROR(" ("&amp;VLOOKUP(C118,$A$9:$B$14,2,FALSE)&amp;")","")&amp;IF(D118&lt;&gt;"",". center stone "&amp;D118,"")&amp;IF(E118&lt;&gt;"",". Malee "&amp;E118,"")&amp;IF(F118&lt;&gt;"",". gold weight "&amp;F118,""))</x:f>
      </x:c>
      <x:c r="Q118" s="7" t="str">
        <x:f>IF(A118="","",TEXTJOIN(CHAR(10),TRUE,IF(D118&lt;&gt;"",D118,""),IF(E118&lt;&gt;"","Malee "&amp;E118,""),IF(F118&lt;&gt;"",F118,"")))</x:f>
      </x:c>
    </x:row>
    <x:row r="119" ht="48" customHeight="1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  <x:c r="K119" s="6"/>
      <x:c r="L119" s="6"/>
      <x:c r="M119" s="6"/>
      <x:c r="N119" s="6"/>
      <x:c r="O119" s="6"/>
      <x:c r="P119" s="7" t="str">
        <x:f>IF(A119="","", "SKU "&amp;A119&amp;". from the "&amp;B119&amp;" collection. Type "&amp;C119&amp;IFERROR(" ("&amp;VLOOKUP(C119,$A$9:$B$14,2,FALSE)&amp;")","")&amp;IF(D119&lt;&gt;"",". center stone "&amp;D119,"")&amp;IF(E119&lt;&gt;"",". Malee "&amp;E119,"")&amp;IF(F119&lt;&gt;"",". gold weight "&amp;F119,""))</x:f>
      </x:c>
      <x:c r="Q119" s="7" t="str">
        <x:f>IF(A119="","",TEXTJOIN(CHAR(10),TRUE,IF(D119&lt;&gt;"",D119,""),IF(E119&lt;&gt;"","Malee "&amp;E119,""),IF(F119&lt;&gt;"",F119,"")))</x:f>
      </x:c>
    </x:row>
    <x:row r="120" ht="48" customHeight="1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7" t="str">
        <x:f>IF(A120="","", "SKU "&amp;A120&amp;". from the "&amp;B120&amp;" collection. Type "&amp;C120&amp;IFERROR(" ("&amp;VLOOKUP(C120,$A$9:$B$14,2,FALSE)&amp;")","")&amp;IF(D120&lt;&gt;"",". center stone "&amp;D120,"")&amp;IF(E120&lt;&gt;"",". Malee "&amp;E120,"")&amp;IF(F120&lt;&gt;"",". gold weight "&amp;F120,""))</x:f>
      </x:c>
      <x:c r="Q120" s="7" t="str">
        <x:f>IF(A120="","",TEXTJOIN(CHAR(10),TRUE,IF(D120&lt;&gt;"",D120,""),IF(E120&lt;&gt;"","Malee "&amp;E120,""),IF(F120&lt;&gt;"",F120,"")))</x:f>
      </x:c>
    </x:row>
  </x:sheetData>
  <x:mergeCells>
    <x:mergeCell ref="A1:Q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58.54999923706055" hidden="0" customWidth="1"/>
    <x:col min="3" max="3" width="7.940000057220459" hidden="0" customWidth="1"/>
    <x:col min="4" max="4" width="19.520000457763672" hidden="0" customWidth="1"/>
    <x:col min="5" max="5" width="43.7400016784668" hidden="0" customWidth="1"/>
    <x:col min="6" max="6" width="4.710000038146973" hidden="0" customWidth="1"/>
  </x:cols>
  <x:sheetData>
    <x:row r="1" ht="25.5" customHeight="1">
      <x:c r="A1" s="2" t="str">
        <x:v>How To Use This Template</x:v>
      </x:c>
      <x:c r="B1" s="2" t="str">
        <x:v>How To Use This Template</x:v>
      </x:c>
      <x:c r="C1" s="2" t="str">
        <x:v>How To Use This Template</x:v>
      </x:c>
      <x:c r="D1" s="2" t="str">
        <x:v>How To Use This Template</x:v>
      </x:c>
      <x:c r="E1" s="2" t="str">
        <x:v>How To Use This Template</x:v>
      </x:c>
      <x:c r="F1" s="2" t="str">
        <x:v>How To Use This Template</x:v>
      </x:c>
    </x:row>
    <x:row r="3" ht="25.5" customHeight="1">
      <x:c r="A3" s="9" t="str">
        <x:v>Step</x:v>
      </x:c>
      <x:c r="B3" s="9" t="str">
        <x:v>Action</x:v>
      </x:c>
      <x:c r="C3" s="5"/>
      <x:c r="D3" s="9" t="str">
        <x:v>Column</x:v>
      </x:c>
      <x:c r="E3" s="9" t="str">
        <x:v>Use</x:v>
      </x:c>
    </x:row>
    <x:row r="4" ht="25.5" customHeight="1">
      <x:c r="A4" s="7" t="str">
        <x:v>1</x:v>
      </x:c>
      <x:c r="B4" s="7" t="str">
        <x:v>Keep columns A-F for product specs: ID, Collection, Type, Center, Malee, Gold Weight</x:v>
      </x:c>
      <x:c r="C4" s="5"/>
      <x:c r="D4" s="7" t="str">
        <x:v>image_url</x:v>
      </x:c>
      <x:c r="E4" s="7" t="str">
        <x:v>White gold or main view</x:v>
      </x:c>
    </x:row>
    <x:row r="5" ht="25.5" customHeight="1">
      <x:c r="A5" s="7" t="str">
        <x:v>2</x:v>
      </x:c>
      <x:c r="B5" s="7" t="str">
        <x:v>Use column G onward for website fields: code, name, image URLs, price, description, details</x:v>
      </x:c>
      <x:c r="C5" s="5"/>
      <x:c r="D5" s="7" t="str">
        <x:v>top_image_url</x:v>
      </x:c>
      <x:c r="E5" s="7" t="str">
        <x:v>Top view image</x:v>
      </x:c>
    </x:row>
    <x:row r="6" ht="25.5" customHeight="1">
      <x:c r="A6" s="7" t="str">
        <x:v>3</x:v>
      </x:c>
      <x:c r="B6" s="7" t="str">
        <x:v>Paste public Google Drive image links into image_url and the angle image columns</x:v>
      </x:c>
      <x:c r="C6" s="5"/>
      <x:c r="D6" s="7" t="str">
        <x:v>front_image_url</x:v>
      </x:c>
      <x:c r="E6" s="7" t="str">
        <x:v>Front view image</x:v>
      </x:c>
    </x:row>
    <x:row r="7" ht="25.5" customHeight="1">
      <x:c r="A7" s="7" t="str">
        <x:v>4</x:v>
      </x:c>
      <x:c r="B7" s="7" t="str">
        <x:v>Publish the Google Sheet to CSV so the website can read it automatically</x:v>
      </x:c>
      <x:c r="C7" s="5"/>
      <x:c r="D7" s="7" t="str">
        <x:v>side_image_url</x:v>
      </x:c>
      <x:c r="E7" s="7" t="str">
        <x:v>Side view image</x:v>
      </x:c>
    </x:row>
    <x:row r="8" ht="25.5" customHeight="1">
      <x:c r="A8" s="9" t="str">
        <x:v>Reference</x:v>
      </x:c>
      <x:c r="B8" s="9" t="str">
        <x:v>Meaning</x:v>
      </x:c>
      <x:c r="C8" s="5"/>
      <x:c r="D8" s="7" t="str">
        <x:v>yellow_gold_image_url</x:v>
      </x:c>
      <x:c r="E8" s="7" t="str">
        <x:v>Yellow gold variation</x:v>
      </x:c>
    </x:row>
    <x:row r="9" ht="25.5" customHeight="1">
      <x:c r="A9" s="7" t="str">
        <x:v>SR</x:v>
      </x:c>
      <x:c r="B9" s="7" t="str">
        <x:v>Stock Ring</x:v>
      </x:c>
      <x:c r="C9" s="5"/>
      <x:c r="D9" s="7" t="str">
        <x:v>rose_gold_image_url</x:v>
      </x:c>
      <x:c r="E9" s="7" t="str">
        <x:v>Rose gold variation</x:v>
      </x:c>
    </x:row>
    <x:row r="10" ht="25.5" customHeight="1">
      <x:c r="A10" s="7" t="str">
        <x:v>SE</x:v>
      </x:c>
      <x:c r="B10" s="7" t="str">
        <x:v>Stock Earring</x:v>
      </x:c>
      <x:c r="C10" s="5"/>
      <x:c r="D10" s="7" t="str">
        <x:v>description</x:v>
      </x:c>
      <x:c r="E10" s="7" t="str">
        <x:v>Auto formula is included, but you can overwrite it</x:v>
      </x:c>
    </x:row>
    <x:row r="11" ht="25.5" customHeight="1">
      <x:c r="A11" s="7" t="str">
        <x:v>SP</x:v>
      </x:c>
      <x:c r="B11" s="7" t="str">
        <x:v>Stock Pendant</x:v>
      </x:c>
      <x:c r="C11" s="5"/>
      <x:c r="D11" s="7" t="str">
        <x:v>details</x:v>
      </x:c>
      <x:c r="E11" s="7" t="str">
        <x:v>Auto formula is included, but you can overwrite it</x:v>
      </x:c>
    </x:row>
    <x:row r="12" ht="25.5" customHeight="1">
      <x:c r="A12" s="7" t="str">
        <x:v>WS</x:v>
      </x:c>
      <x:c r="B12" s="7" t="str">
        <x:v>Wedding set / แหวนแต่งงาน</x:v>
      </x:c>
      <x:c r="C12" s="5"/>
      <x:c r="D12" s="7" t="str">
        <x:v>code</x:v>
      </x:c>
      <x:c r="E12" s="7" t="str">
        <x:v>Website product code such as WSSR0033, ERSR0033ER, WBSR0033WB</x:v>
      </x:c>
    </x:row>
    <x:row r="13" ht="25.5" customHeight="1">
      <x:c r="A13" s="7" t="str">
        <x:v>ER</x:v>
      </x:c>
      <x:c r="B13" s="7" t="str">
        <x:v>Engagement ring / แหวนหมั้น</x:v>
      </x:c>
      <x:c r="C13" s="5"/>
      <x:c r="D13" s="5"/>
      <x:c r="E13" s="5"/>
    </x:row>
    <x:row r="14" ht="25.5" customHeight="1">
      <x:c r="A14" s="7" t="str">
        <x:v>WB</x:v>
      </x:c>
      <x:c r="B14" s="7" t="str">
        <x:v>Wedding band / แหวนแถว</x:v>
      </x:c>
      <x:c r="C14" s="5"/>
      <x:c r="D14" s="5"/>
      <x:c r="E14" s="5"/>
    </x:row>
    <x:row r="15" ht="25.5" customHeight="1">
      <x:c r="A15" s="7" t="str">
        <x:v>MB</x:v>
      </x:c>
      <x:c r="B15" s="7" t="str">
        <x:v>Men's wedding band / แหวนแต่งงานผู้ชาย</x:v>
      </x:c>
      <x:c r="C15" s="5"/>
      <x:c r="D15" s="5"/>
      <x:c r="E15" s="5"/>
    </x:row>
  </x:sheetData>
  <x:mergeCells>
    <x:mergeCell ref="A1:F1"/>
  </x:mergeCells>
  <x:pageMargins left="0.7" right="0.7" top="0.75" bottom="0.75" header="0.3" footer="0.3"/>
</x:worksheet>
</file>